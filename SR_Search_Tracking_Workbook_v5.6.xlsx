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8940" tabRatio="500" firstSheet="0" activeTab="1" autoFilterDateGrouping="1"/>
  </bookViews>
  <sheets>
    <sheet name="Dashboard" sheetId="1" state="visible" r:id="rId1"/>
    <sheet name="Query Log" sheetId="2" state="visible" r:id="rId2"/>
    <sheet name="Dedup Tracker" sheetId="3" state="visible" r:id="rId3"/>
    <sheet name="Screening Log" sheetId="4" state="visible" r:id="rId4"/>
    <sheet name="Validation Check" sheetId="5" state="visible" r:id="rId5"/>
    <sheet name="PRISMA Numbers" sheetId="6" state="visible" r:id="rId6"/>
    <sheet name="Change Log" sheetId="7" state="visible" r:id="rId7"/>
  </sheets>
  <definedNames>
    <definedName name="_xlnm._FilterDatabase" localSheetId="1" hidden="1">'Query Log'!$A$1:$I$31</definedName>
  </definedNames>
  <calcPr calcId="191029" fullCalcOnLoad="1"/>
</workbook>
</file>

<file path=xl/styles.xml><?xml version="1.0" encoding="utf-8"?>
<styleSheet xmlns="http://schemas.openxmlformats.org/spreadsheetml/2006/main">
  <numFmts count="1">
    <numFmt numFmtId="164" formatCode="yyyy-mm-dd h:mm:ss"/>
  </numFmts>
  <fonts count="15">
    <font>
      <name val="Calibri"/>
      <charset val="1"/>
      <family val="2"/>
      <color theme="1"/>
      <sz val="11"/>
    </font>
    <font>
      <name val="Arial"/>
      <family val="2"/>
      <sz val="10"/>
    </font>
    <font>
      <name val="Arial"/>
      <family val="2"/>
      <b val="1"/>
      <color rgb="FF1F4E79"/>
      <sz val="14"/>
    </font>
    <font>
      <name val="Arial"/>
      <family val="2"/>
      <color rgb="FF666666"/>
      <sz val="10"/>
    </font>
    <font>
      <name val="Arial"/>
      <family val="2"/>
      <b val="1"/>
      <color rgb="FFFFFFFF"/>
      <sz val="10"/>
    </font>
    <font>
      <name val="Arial"/>
      <family val="2"/>
      <sz val="10"/>
    </font>
    <font>
      <name val="Arial"/>
      <family val="2"/>
      <b val="1"/>
      <sz val="10"/>
    </font>
    <font>
      <name val="Arial"/>
      <family val="2"/>
      <i val="1"/>
      <color rgb="FF999999"/>
      <sz val="9"/>
    </font>
    <font>
      <name val="Arial"/>
      <family val="2"/>
      <b val="1"/>
      <color rgb="FFC00000"/>
      <sz val="11"/>
    </font>
    <font>
      <name val="Arial"/>
      <family val="2"/>
      <b val="1"/>
      <color rgb="FF1F4E79"/>
      <sz val="11"/>
    </font>
    <font>
      <name val="Arial"/>
      <family val="2"/>
      <i val="1"/>
      <color rgb="FFC00000"/>
      <sz val="9"/>
    </font>
    <font>
      <name val="Arial"/>
      <family val="2"/>
      <color rgb="FFFF0000"/>
      <sz val="10"/>
    </font>
    <font>
      <name val="Calibri"/>
      <charset val="1"/>
      <family val="2"/>
      <color rgb="FFFF0000"/>
      <sz val="11"/>
    </font>
    <font>
      <name val="Calibri"/>
      <b val="1"/>
      <sz val="14"/>
    </font>
    <font>
      <name val="Calibri"/>
      <b val="1"/>
      <sz val="11"/>
    </font>
  </fonts>
  <fills count="6">
    <fill>
      <patternFill/>
    </fill>
    <fill>
      <patternFill patternType="gray125"/>
    </fill>
    <fill>
      <patternFill patternType="solid">
        <fgColor rgb="FF1F4E79"/>
        <bgColor rgb="FF003366"/>
      </patternFill>
    </fill>
    <fill>
      <patternFill patternType="solid">
        <fgColor rgb="FFF2F7FB"/>
        <bgColor rgb="FFFFFFFF"/>
      </patternFill>
    </fill>
    <fill>
      <patternFill patternType="solid">
        <fgColor rgb="FF2E75B6"/>
        <bgColor rgb="FF0066CC"/>
      </patternFill>
    </fill>
    <fill>
      <patternFill patternType="solid">
        <fgColor rgb="FFDDDDDD"/>
        <bgColor rgb="FFDDDDD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5" fillId="0" borderId="1" applyAlignment="1" pivotButton="0" quotePrefix="0" xfId="0">
      <alignment vertical="top" wrapText="1"/>
    </xf>
    <xf numFmtId="0" fontId="6" fillId="0" borderId="1" pivotButton="0" quotePrefix="0" xfId="0"/>
    <xf numFmtId="0" fontId="7" fillId="0" borderId="1" pivotButton="0" quotePrefix="0" xfId="0"/>
    <xf numFmtId="0" fontId="5" fillId="0" borderId="1" pivotButton="0" quotePrefix="0" xfId="0"/>
    <xf numFmtId="0" fontId="4" fillId="4" borderId="1" pivotButton="0" quotePrefix="0" xfId="0"/>
    <xf numFmtId="0" fontId="1" fillId="3" borderId="1"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vertical="top"/>
    </xf>
    <xf numFmtId="0" fontId="1" fillId="0" borderId="1" applyAlignment="1" pivotButton="0" quotePrefix="0" xfId="0">
      <alignment vertical="top" wrapText="1"/>
    </xf>
    <xf numFmtId="14" fontId="5" fillId="3" borderId="1" applyAlignment="1" pivotButton="0" quotePrefix="0" xfId="0">
      <alignment vertical="top" wrapText="1"/>
    </xf>
    <xf numFmtId="14" fontId="5" fillId="0" borderId="1" applyAlignment="1" pivotButton="0" quotePrefix="0" xfId="0">
      <alignment vertical="top" wrapText="1"/>
    </xf>
    <xf numFmtId="0" fontId="11" fillId="0" borderId="1" applyAlignment="1" pivotButton="0" quotePrefix="0" xfId="0">
      <alignment vertical="top" wrapText="1"/>
    </xf>
    <xf numFmtId="14" fontId="11" fillId="0" borderId="1" applyAlignment="1" pivotButton="0" quotePrefix="0" xfId="0">
      <alignment vertical="top" wrapText="1"/>
    </xf>
    <xf numFmtId="0" fontId="12" fillId="0" borderId="0" pivotButton="0" quotePrefix="0" xfId="0"/>
    <xf numFmtId="0" fontId="13" fillId="0" borderId="0" pivotButton="0" quotePrefix="0" xfId="0"/>
    <xf numFmtId="0" fontId="14" fillId="5" borderId="0" pivotButton="0" quotePrefix="0" xfId="0"/>
    <xf numFmtId="0" fontId="0" fillId="0" borderId="0" pivotButton="0" quotePrefix="0" xfId="0"/>
    <xf numFmtId="0" fontId="3" fillId="0" borderId="0" pivotButton="0" quotePrefix="0" xfId="0"/>
    <xf numFmtId="0" fontId="0" fillId="0" borderId="0" pivotButton="0" quotePrefix="0" xfId="0"/>
    <xf numFmtId="0" fontId="2" fillId="0" borderId="0" pivotButton="0" quotePrefix="0" xfId="0"/>
    <xf numFmtId="0" fontId="8" fillId="0" borderId="0" pivotButton="0" quotePrefix="0" xfId="0"/>
    <xf numFmtId="0" fontId="9" fillId="0" borderId="0" pivotButton="0" quotePrefix="0" xfId="0"/>
    <xf numFmtId="0" fontId="10" fillId="0" borderId="0" pivotButton="0" quotePrefix="0" xfId="0"/>
    <xf numFmtId="164" fontId="5" fillId="0" borderId="1" applyAlignment="1" pivotButton="0" quotePrefix="0" xfId="0">
      <alignment vertical="top" wrapText="1"/>
    </xf>
    <xf numFmtId="164" fontId="5" fillId="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CCCCCC"/>
      <rgbColor rgb="FF808080"/>
      <rgbColor rgb="FF9999FF"/>
      <rgbColor rgb="FF7030A0"/>
      <rgbColor rgb="FFF2F7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BF8F00"/>
      <rgbColor rgb="FFFF6600"/>
      <rgbColor rgb="FF666666"/>
      <rgbColor rgb="FF999999"/>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4E79"/>
    <outlinePr summaryBelow="1" summaryRight="1"/>
    <pageSetUpPr/>
  </sheetPr>
  <dimension ref="A1:G29"/>
  <sheetViews>
    <sheetView zoomScaleNormal="100" workbookViewId="0">
      <selection activeCell="A1" sqref="A1:G1"/>
    </sheetView>
  </sheetViews>
  <sheetFormatPr baseColWidth="8" defaultColWidth="8.6640625" defaultRowHeight="14.4"/>
  <cols>
    <col width="8" customWidth="1" style="21" min="1" max="1"/>
    <col width="52" customWidth="1" style="21" min="2" max="2"/>
    <col width="14" customWidth="1" style="21" min="3" max="5"/>
    <col width="10" customWidth="1" style="21" min="6" max="6"/>
    <col width="36" customWidth="1" style="21" min="7" max="7"/>
  </cols>
  <sheetData>
    <row r="1" ht="17.25" customHeight="1" s="21">
      <c r="A1" s="22" t="inlineStr">
        <is>
          <t>SR SEARCH EXECUTION DASHBOARD — v5.6 FINAL (22 bước theo PRISMA 2020)</t>
        </is>
      </c>
    </row>
    <row r="2" ht="15" customHeight="1" s="21">
      <c r="A2" s="20" t="inlineStr">
        <is>
          <t>Digital Twin for Container Terminal Operations — PRISMA 2020 | 5 Databases | 9 Query Groups + Sensitivity + 9 Seeds + Hand Search</t>
        </is>
      </c>
    </row>
    <row r="3"/>
    <row r="4" ht="23.25" customHeight="1" s="21">
      <c r="A4" s="1" t="inlineStr">
        <is>
          <t>Bước</t>
        </is>
      </c>
      <c r="B4" s="1" t="inlineStr">
        <is>
          <t>Mô tả</t>
        </is>
      </c>
      <c r="C4" s="1" t="inlineStr">
        <is>
          <t>Ngày bắt đầu</t>
        </is>
      </c>
      <c r="D4" s="1" t="inlineStr">
        <is>
          <t>Ngày hoàn thành</t>
        </is>
      </c>
      <c r="E4" s="1" t="inlineStr">
        <is>
          <t>Trạng thái</t>
        </is>
      </c>
      <c r="F4" s="1" t="inlineStr">
        <is>
          <t>Records</t>
        </is>
      </c>
      <c r="G4" s="1" t="inlineStr">
        <is>
          <t>PRISMA items / Ghi chú</t>
        </is>
      </c>
    </row>
    <row r="5" ht="15" customHeight="1" s="21">
      <c r="A5" s="2" t="n">
        <v>1</v>
      </c>
      <c r="B5" s="2" t="inlineStr">
        <is>
          <t>Toàn vẹn RIS + OSF + Rayyan setup</t>
        </is>
      </c>
      <c r="C5" s="2" t="n"/>
      <c r="D5" s="2" t="n"/>
      <c r="E5" s="2" t="inlineStr">
        <is>
          <t>Đang làm</t>
        </is>
      </c>
      <c r="F5" s="2" t="n"/>
      <c r="G5" s="2" t="inlineStr">
        <is>
          <t>1.B ✅ (OSF rm8tx + DOI 10.17605/OSF.IO/RNUZB); 1.A 1.1 ✅ (1.2–1.5 chưa); 1.C 1.10 ✅ (1.11 verify Essential — chờ NCS)</t>
        </is>
      </c>
    </row>
    <row r="6" ht="15" customHeight="1" s="21">
      <c r="A6" s="3" t="n">
        <v>2</v>
      </c>
      <c r="B6" s="3" t="inlineStr">
        <is>
          <t>Soạn Eligibility Criteria độc lập</t>
        </is>
      </c>
      <c r="C6" s="26" t="n">
        <v>46139</v>
      </c>
      <c r="D6" s="26" t="n">
        <v>46139</v>
      </c>
      <c r="E6" s="3" t="inlineStr">
        <is>
          <t>Hoàn thành</t>
        </is>
      </c>
      <c r="F6" s="3" t="n"/>
      <c r="G6" s="3" t="inlineStr">
        <is>
          <t>PRISMA 5 — v1.0 phê duyệt 2026-04-27</t>
        </is>
      </c>
    </row>
    <row r="7" ht="15" customHeight="1" s="21">
      <c r="A7" s="2" t="n">
        <v>3</v>
      </c>
      <c r="B7" s="2" t="inlineStr">
        <is>
          <t>Q1 PRIMARY (Scopus + IEEE)</t>
        </is>
      </c>
      <c r="C7" s="27" t="n">
        <v>46134</v>
      </c>
      <c r="D7" s="27" t="n">
        <v>46134</v>
      </c>
      <c r="E7" s="2" t="inlineStr">
        <is>
          <t>Hoàn thành</t>
        </is>
      </c>
      <c r="F7" s="2" t="n">
        <v>180</v>
      </c>
      <c r="G7" s="2" t="inlineStr">
        <is>
          <t>PRISMA 6, 7</t>
        </is>
      </c>
    </row>
    <row r="8" ht="15" customHeight="1" s="21">
      <c r="A8" s="3" t="n">
        <v>4</v>
      </c>
      <c r="B8" s="3" t="inlineStr">
        <is>
          <t>Q2 EXTENDED (Scopus + IEEE)</t>
        </is>
      </c>
      <c r="C8" s="26" t="n">
        <v>46134</v>
      </c>
      <c r="D8" s="26" t="n">
        <v>46134</v>
      </c>
      <c r="E8" s="3" t="inlineStr">
        <is>
          <t>Hoàn thành</t>
        </is>
      </c>
      <c r="F8" s="3" t="n">
        <v>2637</v>
      </c>
      <c r="G8" s="3" t="inlineStr">
        <is>
          <t>PRISMA 6, 7 — Block C 21 ops terms</t>
        </is>
      </c>
    </row>
    <row r="9" ht="15" customHeight="1" s="21">
      <c r="A9" s="2" t="n">
        <v>5</v>
      </c>
      <c r="B9" s="2" t="inlineStr">
        <is>
          <t>Q3–Q9 T1–T7 (Scopus + IEEE)</t>
        </is>
      </c>
      <c r="C9" s="27" t="n">
        <v>46134</v>
      </c>
      <c r="D9" s="27" t="n">
        <v>46134</v>
      </c>
      <c r="E9" s="2" t="inlineStr">
        <is>
          <t>Hoàn thành</t>
        </is>
      </c>
      <c r="F9" s="2" t="n">
        <v>2526</v>
      </c>
      <c r="G9" s="2" t="inlineStr">
        <is>
          <t>PRISMA 6, 7</t>
        </is>
      </c>
    </row>
    <row r="10" ht="15" customHeight="1" s="21">
      <c r="A10" s="3" t="n">
        <v>6</v>
      </c>
      <c r="B10" s="3" t="inlineStr">
        <is>
          <t>Q10–Q21 Tier 3 (GS 650 + SP 905 + TF 928)</t>
        </is>
      </c>
      <c r="C10" s="26" t="n">
        <v>46134</v>
      </c>
      <c r="D10" s="26" t="n">
        <v>46138</v>
      </c>
      <c r="E10" s="3" t="inlineStr">
        <is>
          <t>Hoàn thành</t>
        </is>
      </c>
      <c r="F10" s="3" t="n">
        <v>2483</v>
      </c>
      <c r="G10" s="3" t="inlineStr">
        <is>
          <t>PRISMA 6, 7 — Tier 3 supplementary</t>
        </is>
      </c>
    </row>
    <row r="11" ht="15" customHeight="1" s="21">
      <c r="A11" s="2" t="n">
        <v>7</v>
      </c>
      <c r="B11" s="2" t="inlineStr">
        <is>
          <t>Khử trùng lặp (Dedup)</t>
        </is>
      </c>
      <c r="C11" s="27" t="n">
        <v>46141</v>
      </c>
      <c r="D11" s="27" t="n">
        <v>46141</v>
      </c>
      <c r="E11" s="2" t="inlineStr">
        <is>
          <t>Hoàn thành (Phương án X)</t>
        </is>
      </c>
      <c r="F11" s="2" t="n">
        <v>5953</v>
      </c>
      <c r="G11" s="2" t="inlineStr">
        <is>
          <t>PRISMA 8, 16a; Python pool (1872 dup, 3 lớp) &gt; Rayyan strict (1588) by 15.2%; pool Python lam goc; NCS re-upload dedup_unique.ris</t>
        </is>
      </c>
    </row>
    <row r="12" ht="15" customHeight="1" s="21">
      <c r="A12" s="3" t="n">
        <v>8</v>
      </c>
      <c r="B12" s="3" t="inlineStr">
        <is>
          <t>Title/Abstract Screening (Pha A + Rayyan)</t>
        </is>
      </c>
      <c r="C12" s="3" t="n"/>
      <c r="D12" s="3" t="n"/>
      <c r="E12" s="3" t="inlineStr">
        <is>
          <t>Chưa</t>
        </is>
      </c>
      <c r="F12" s="3" t="n"/>
      <c r="G12" s="3" t="inlineStr">
        <is>
          <t>PRISMA 8, 16a, 16b</t>
        </is>
      </c>
    </row>
    <row r="13" ht="15" customHeight="1" s="21">
      <c r="A13" s="2" t="n">
        <v>9</v>
      </c>
      <c r="B13" s="2" t="inlineStr">
        <is>
          <t>Fulltext + Snowball + Hand search</t>
        </is>
      </c>
      <c r="C13" s="2" t="n"/>
      <c r="D13" s="2" t="n"/>
      <c r="E13" s="2" t="inlineStr">
        <is>
          <t>Chưa</t>
        </is>
      </c>
      <c r="F13" s="2" t="n"/>
      <c r="G13" s="2" t="inlineStr">
        <is>
          <t>PRISMA 6, 8, 16a, 16b</t>
        </is>
      </c>
    </row>
    <row r="14" ht="15" customHeight="1" s="21">
      <c r="A14" s="3" t="n">
        <v>10</v>
      </c>
      <c r="B14" s="3" t="inlineStr">
        <is>
          <t>PRISMA Flow Diagram</t>
        </is>
      </c>
      <c r="C14" s="3" t="n"/>
      <c r="D14" s="3" t="n"/>
      <c r="E14" s="3" t="inlineStr">
        <is>
          <t>Chưa</t>
        </is>
      </c>
      <c r="F14" s="3" t="n"/>
      <c r="G14" s="3" t="inlineStr">
        <is>
          <t>PRISMA 16a</t>
        </is>
      </c>
    </row>
    <row r="15" ht="15" customHeight="1" s="21">
      <c r="A15" s="2" t="n">
        <v>11</v>
      </c>
      <c r="B15" s="2" t="inlineStr">
        <is>
          <t>Data Extraction Form + áp dụng</t>
        </is>
      </c>
      <c r="C15" s="2" t="n"/>
      <c r="D15" s="2" t="n"/>
      <c r="E15" s="2" t="inlineStr">
        <is>
          <t>Chưa</t>
        </is>
      </c>
      <c r="F15" s="2" t="n"/>
      <c r="G15" s="2" t="inlineStr">
        <is>
          <t>PRISMA 9, 10a, 10b</t>
        </is>
      </c>
    </row>
    <row r="16" ht="15" customHeight="1" s="21">
      <c r="A16" s="3" t="n">
        <v>12</v>
      </c>
      <c r="B16" s="3" t="inlineStr">
        <is>
          <t>Maturity Level + Tier classification</t>
        </is>
      </c>
      <c r="C16" s="3" t="n"/>
      <c r="D16" s="3" t="n"/>
      <c r="E16" s="3" t="inlineStr">
        <is>
          <t>Chưa</t>
        </is>
      </c>
      <c r="F16" s="3" t="n"/>
      <c r="G16" s="3" t="inlineStr">
        <is>
          <t>PRISMA 10a, 17</t>
        </is>
      </c>
    </row>
    <row r="17" ht="15" customHeight="1" s="21">
      <c r="A17" s="2" t="n">
        <v>13</v>
      </c>
      <c r="B17" s="2" t="inlineStr">
        <is>
          <t>Rubric + Borderline Protocol</t>
        </is>
      </c>
      <c r="C17" s="2" t="n"/>
      <c r="D17" s="2" t="n"/>
      <c r="E17" s="2" t="inlineStr">
        <is>
          <t>Chưa</t>
        </is>
      </c>
      <c r="F17" s="2" t="n"/>
      <c r="G17" s="2" t="inlineStr">
        <is>
          <t>PRISMA 8 chi tiết, 10a</t>
        </is>
      </c>
    </row>
    <row r="18" ht="15" customHeight="1" s="21">
      <c r="A18" s="3" t="n">
        <v>14</v>
      </c>
      <c r="B18" s="3" t="inlineStr">
        <is>
          <t>Quality Appraisal (Q1–Q8 scoring)</t>
        </is>
      </c>
      <c r="C18" s="26" t="n">
        <v>46138</v>
      </c>
      <c r="D18" s="26" t="n">
        <v>46138</v>
      </c>
      <c r="E18" s="3" t="inlineStr">
        <is>
          <t>Chưa</t>
        </is>
      </c>
      <c r="F18" s="3" t="n">
        <v>905</v>
      </c>
      <c r="G18" s="3" t="inlineStr">
        <is>
          <t>PRISMA 11, 18</t>
        </is>
      </c>
    </row>
    <row r="19" ht="15" customHeight="1" s="21">
      <c r="A19" s="2" t="n">
        <v>15</v>
      </c>
      <c r="B19" s="2" t="inlineStr">
        <is>
          <t>Intra-Rater Reliability (Cohen kappa)</t>
        </is>
      </c>
      <c r="C19" s="27" t="n">
        <v>46138</v>
      </c>
      <c r="D19" s="27" t="n">
        <v>46138</v>
      </c>
      <c r="E19" s="2" t="inlineStr">
        <is>
          <t>Chưa</t>
        </is>
      </c>
      <c r="F19" s="2" t="n">
        <v>928</v>
      </c>
      <c r="G19" s="2" t="inlineStr">
        <is>
          <t>PRISMA 8, 23c</t>
        </is>
      </c>
    </row>
    <row r="20" ht="15" customHeight="1" s="21">
      <c r="A20" s="3" t="n">
        <v>16</v>
      </c>
      <c r="B20" s="3" t="inlineStr">
        <is>
          <t>Sensitivity Analysis (recall validation)</t>
        </is>
      </c>
      <c r="C20" s="3" t="n"/>
      <c r="D20" s="3" t="n"/>
      <c r="E20" s="3" t="inlineStr">
        <is>
          <t>Chưa</t>
        </is>
      </c>
      <c r="F20" s="3" t="n"/>
      <c r="G20" s="3" t="inlineStr">
        <is>
          <t>PRISMA 13f, 20d</t>
        </is>
      </c>
    </row>
    <row r="21" ht="15" customHeight="1" s="21">
      <c r="A21" s="2" t="n">
        <v>17</v>
      </c>
      <c r="B21" s="2" t="inlineStr">
        <is>
          <t>Bibliometric + Research Agenda</t>
        </is>
      </c>
      <c r="C21" s="2" t="n"/>
      <c r="D21" s="2" t="n"/>
      <c r="E21" s="2" t="inlineStr">
        <is>
          <t>Chưa</t>
        </is>
      </c>
      <c r="F21" s="2" t="n"/>
      <c r="G21" s="2" t="inlineStr">
        <is>
          <t>PRISMA 13c, 13d, 17, 20a, 20b, 23d</t>
        </is>
      </c>
    </row>
    <row r="22" ht="15" customHeight="1" s="21">
      <c r="A22" s="3" t="n">
        <v>18</v>
      </c>
      <c r="B22" s="3" t="inlineStr">
        <is>
          <t>Manuscript writing</t>
        </is>
      </c>
      <c r="C22" s="3" t="n"/>
      <c r="D22" s="3" t="n"/>
      <c r="E22" s="3" t="inlineStr">
        <is>
          <t>Chưa</t>
        </is>
      </c>
      <c r="F22" s="3" t="n"/>
      <c r="G22" s="3" t="inlineStr">
        <is>
          <t>PRISMA 1, 2, 3, 4, 23a-d</t>
        </is>
      </c>
    </row>
    <row r="23" ht="15" customHeight="1" s="21">
      <c r="A23" s="2" t="n">
        <v>19</v>
      </c>
      <c r="B23" s="2" t="inlineStr">
        <is>
          <t>Limitations + N/A justify + PRISMA Checklist 27</t>
        </is>
      </c>
      <c r="C23" s="2" t="n"/>
      <c r="D23" s="2" t="n"/>
      <c r="E23" s="2" t="inlineStr">
        <is>
          <t>Chưa</t>
        </is>
      </c>
      <c r="F23" s="2" t="n"/>
      <c r="G23" s="2" t="inlineStr">
        <is>
          <t>PRISMA 14, 15, 21, 22, 23b, 23c, 27</t>
        </is>
      </c>
    </row>
    <row r="24" ht="15" customHeight="1" s="21">
      <c r="A24" s="3" t="n">
        <v>20</v>
      </c>
      <c r="B24" s="3" t="inlineStr">
        <is>
          <t>Supplementary Package + OSF amendment</t>
        </is>
      </c>
      <c r="C24" s="3" t="n"/>
      <c r="D24" s="3" t="n"/>
      <c r="E24" s="3" t="inlineStr">
        <is>
          <t>Chưa</t>
        </is>
      </c>
      <c r="F24" s="3" t="n"/>
      <c r="G24" s="3" t="inlineStr">
        <is>
          <t>PRISMA 24c, 27 + PRISMA-S 8</t>
        </is>
      </c>
    </row>
    <row r="25" ht="15" customHeight="1" s="21">
      <c r="A25" s="2" t="n">
        <v>21</v>
      </c>
      <c r="B25" s="2" t="inlineStr">
        <is>
          <t>Expert Validation (song song từ Bước 6)</t>
        </is>
      </c>
      <c r="C25" s="2" t="n"/>
      <c r="D25" s="2" t="n"/>
      <c r="E25" s="2" t="inlineStr">
        <is>
          <t>Chưa</t>
        </is>
      </c>
      <c r="F25" s="2" t="n"/>
      <c r="G25" s="2" t="inlineStr">
        <is>
          <t>Bổ trợ PRISMA 23</t>
        </is>
      </c>
    </row>
    <row r="26" ht="15" customHeight="1" s="21">
      <c r="A26" s="3" t="n">
        <v>22</v>
      </c>
      <c r="B26" s="3" t="inlineStr">
        <is>
          <t>Final review + Cover letter + Submit</t>
        </is>
      </c>
      <c r="C26" s="3" t="n"/>
      <c r="D26" s="3" t="n"/>
      <c r="E26" s="3" t="inlineStr">
        <is>
          <t>Chưa</t>
        </is>
      </c>
      <c r="F26" s="3" t="n"/>
      <c r="G26" s="3" t="inlineStr">
        <is>
          <t>PRISMA 1, 2, 25, 26</t>
        </is>
      </c>
    </row>
    <row r="27" ht="15" customHeight="1" s="21">
      <c r="A27" s="2" t="inlineStr">
        <is>
          <t>7.2</t>
        </is>
      </c>
      <c r="B27" s="2" t="inlineStr">
        <is>
          <t>Recall Validation</t>
        </is>
      </c>
      <c r="C27" s="2" t="n"/>
      <c r="D27" s="2" t="n"/>
      <c r="E27" s="2" t="inlineStr">
        <is>
          <t>Chưa bắt đầu</t>
        </is>
      </c>
      <c r="F27" s="2" t="n"/>
      <c r="G27" s="2" t="inlineStr">
        <is>
          <t>Coverage ≥95%</t>
        </is>
      </c>
    </row>
    <row r="28" ht="15" customHeight="1" s="21">
      <c r="A28" s="3" t="inlineStr">
        <is>
          <t>8</t>
        </is>
      </c>
      <c r="B28" s="3" t="inlineStr">
        <is>
          <t>PRISMA Flow Diagram</t>
        </is>
      </c>
      <c r="C28" s="3" t="n"/>
      <c r="D28" s="3" t="n"/>
      <c r="E28" s="3" t="inlineStr">
        <is>
          <t>Chưa bắt đầu</t>
        </is>
      </c>
      <c r="F28" s="3" t="n"/>
      <c r="G28" s="3" t="inlineStr">
        <is>
          <t>Số liệu khớp chính xác</t>
        </is>
      </c>
    </row>
    <row r="29" ht="15" customHeight="1" s="21">
      <c r="A29" s="3" t="n"/>
      <c r="B29" s="3" t="n"/>
      <c r="C29" s="3" t="n"/>
      <c r="D29" s="3" t="n"/>
      <c r="E29" s="3" t="n"/>
      <c r="F29" s="3" t="n"/>
      <c r="G29" s="3" t="n"/>
    </row>
  </sheetData>
  <mergeCells count="2">
    <mergeCell ref="A2:G2"/>
    <mergeCell ref="A1:G1"/>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2E75B6"/>
    <outlinePr summaryBelow="1" summaryRight="1"/>
    <pageSetUpPr/>
  </sheetPr>
  <dimension ref="A1:K31"/>
  <sheetViews>
    <sheetView tabSelected="1" topLeftCell="A28" zoomScale="85" zoomScaleNormal="85" workbookViewId="0">
      <selection activeCell="G41" sqref="G41"/>
    </sheetView>
  </sheetViews>
  <sheetFormatPr baseColWidth="8" defaultColWidth="8.6640625" defaultRowHeight="14.4"/>
  <cols>
    <col width="10" customWidth="1" style="21" min="1" max="1"/>
    <col width="28" customWidth="1" style="21" min="2" max="2"/>
    <col width="15.109375" customWidth="1" style="21" min="3" max="3"/>
    <col width="14" customWidth="1" style="21" min="4" max="4"/>
    <col width="110.44140625" customWidth="1" style="21" min="5" max="5"/>
    <col width="17.44140625" customWidth="1" style="21" min="6" max="6"/>
    <col width="23.44140625" customWidth="1" style="21" min="7" max="7"/>
    <col width="32" customWidth="1" style="21" min="8" max="8"/>
    <col width="40" customWidth="1" style="21" min="9" max="9"/>
    <col width="79.109375" customWidth="1" style="21" min="10" max="10"/>
  </cols>
  <sheetData>
    <row r="1" ht="23.25" customHeight="1" s="21">
      <c r="A1" s="1" t="inlineStr">
        <is>
          <t>Query ID</t>
        </is>
      </c>
      <c r="B1" s="1" t="inlineStr">
        <is>
          <t>Tên Query</t>
        </is>
      </c>
      <c r="C1" s="1" t="inlineStr">
        <is>
          <t>Tier</t>
        </is>
      </c>
      <c r="D1" s="1" t="inlineStr">
        <is>
          <t>Database</t>
        </is>
      </c>
      <c r="E1" s="1" t="inlineStr">
        <is>
          <t>Query String (copy-paste)</t>
        </is>
      </c>
      <c r="F1" s="1" t="inlineStr">
        <is>
          <t>Ngày chạy</t>
        </is>
      </c>
      <c r="G1" s="1" t="inlineStr">
        <is>
          <t>Kết quả (records)</t>
        </is>
      </c>
      <c r="H1" s="1" t="inlineStr">
        <is>
          <t>File export</t>
        </is>
      </c>
      <c r="I1" s="1" t="inlineStr">
        <is>
          <t>Ghi chú</t>
        </is>
      </c>
    </row>
    <row r="2" ht="43.8" customHeight="1" s="21">
      <c r="A2" s="2" t="inlineStr">
        <is>
          <t>P-SCO</t>
        </is>
      </c>
      <c r="B2" s="2" t="inlineStr">
        <is>
          <t>Q1 PRIMARY</t>
        </is>
      </c>
      <c r="C2" s="2" t="inlineStr">
        <is>
          <t>Tier 1</t>
        </is>
      </c>
      <c r="D2" s="2" t="inlineStr">
        <is>
          <t>Scopus</t>
        </is>
      </c>
      <c r="E2" s="8" t="inlineStr">
        <is>
          <t>TITLE-ABS-KEY ( ( "digital twin*" OR "digital shadow*" ) AND ( "container terminal" OR "container port" OR "seaport" OR "port terminal" OR "port operation*" OR "maritime terminal" OR "smart port" OR "port logistics" OR "port system" OR "port facility" OR "port area" OR "port infrastructure" ) ) AND PUBYEAR &gt; 2014 AND PUBYEAR &lt; 2027 AND LANGUAGE ( english ) AND DOCTYPE ( ar OR cp OR re ) AND NOT TITLE-ABS-KEY ( "airport*" OR "heliport" OR "serial port" OR "I/O port" OR "USB port" OR "network port" OR "ethernet" OR "transport layer" OR "COM port" OR "port number" OR "wine port" OR "docker" OR "kubernetes" OR "port-Hamiltonian" OR "port Hamiltonian" OR "side-channel" OR "SMT execution port" ) AND NOT TITLE-ABS-KEY ( "patient*" OR "clinical" OR "cancer" OR "tumor" OR "surgery" OR "medical" OR "health care" OR "pharmaceutical" OR "drug" OR "protein" OR "cell" OR "tissue" OR "air terminal" ) AND NOT TITLE-ABS-KEY ( "Port Vila" OR "Port Moresby" OR "Port Said" OR "Port Harcourt" OR "Port-au-Prince" OR "Portsmouth" OR "Newport News" OR "Port Elizabeth" OR "Port Louis" ) AND NOT TITLE-ABS-KEY ( "bulk terminal*" OR "tanker terminal*" OR "oil terminal*" OR "LNG terminal*" OR "coal terminal*" OR "grain terminal*" OR "ore terminal*" OR "cruise terminal*" OR "ferry terminal*" OR "passenger terminal*" OR "roll-on roll-off" OR "Ro-Ro" ) AND NOT TITLE-ABS-KEY ( "port-of-entry" OR "customs clearance" ) AND ( LIMIT-TO ( SUBJAREA , "ENGI" ) OR LIMIT-TO ( SUBJAREA , "COMP" ) OR LIMIT-TO ( SUBJAREA , "DECI" ) OR LIMIT-TO ( SUBJAREA , "EART" ) OR LIMIT-TO ( SUBJAREA , "ENER" ) OR LIMIT-TO ( SUBJAREA , "BUSI" ) OR LIMIT-TO ( SUBJAREA , "SOCI" ) )</t>
        </is>
      </c>
      <c r="F2" s="12" t="n">
        <v>46134</v>
      </c>
      <c r="G2" s="2" t="n">
        <v>130</v>
      </c>
      <c r="H2" s="8" t="inlineStr">
        <is>
          <t>PRIMARY_Scopus.ris</t>
        </is>
      </c>
      <c r="I2" s="2" t="n"/>
    </row>
    <row r="3" ht="43.8" customFormat="1" customHeight="1" s="16">
      <c r="A3" s="14" t="inlineStr">
        <is>
          <t>P-IEEE</t>
        </is>
      </c>
      <c r="B3" s="14" t="inlineStr">
        <is>
          <t>Q1 PRIMARY</t>
        </is>
      </c>
      <c r="C3" s="14" t="inlineStr">
        <is>
          <t>Tier 1</t>
        </is>
      </c>
      <c r="D3" s="14" t="inlineStr">
        <is>
          <t>IEEE Xplore</t>
        </is>
      </c>
      <c r="E3" s="14" t="inlineStr">
        <is>
          <t>("digital twin" OR "digital twins" OR "digital twin-based" OR "digital shadow")
AND ("container terminal" OR "container port" OR "seaport"
     OR "port terminal" OR "port operations" OR "port operation"
     OR "maritime terminal" OR "smart port" OR "port logistics"
     OR "port system" OR "port facility" OR "port area"
     OR "port infrastructure")
AND NOT ("airport" OR "airports" OR "heliport" OR "serial port" OR "I/O port" OR "USB port" OR "network port" OR "ethernet" OR "transport layer" OR "COM port" OR "port number" OR "wine port" OR "docker" OR "kubernetes" OR "port-Hamiltonian" OR "side-channel" OR "SMT execution port")
AND NOT ("patient" OR "patients" OR "clinical" OR "cancer" OR "tumor" OR "surgery" OR "medical" OR "health care" OR "pharmaceutical" OR "drug" OR "protein" OR "cell" OR "tissue" OR "air terminal")
AND NOT ("Port Vila" OR "Port Moresby" OR "Port Said" OR "Port Harcourt" OR "Port-au-Prince" OR "Portsmouth" OR "Newport News")
AND NOT ("bulk terminal" OR "tanker terminal" OR "oil terminal" OR "LNG terminal" OR "coal terminal" OR "cruise terminal" OR "ferry terminal" OR "passenger terminal" OR "roll-on roll-off" OR "Ro-Ro" OR "port-of-entry" OR "customs clearance")</t>
        </is>
      </c>
      <c r="F3" s="15" t="n">
        <v>46134</v>
      </c>
      <c r="G3" s="14" t="n">
        <v>50</v>
      </c>
      <c r="H3" s="14" t="inlineStr">
        <is>
          <t>PRIMARY_IEEE.ris</t>
        </is>
      </c>
      <c r="I3" s="14" t="n"/>
    </row>
    <row r="4" ht="43.8" customHeight="1" s="21">
      <c r="A4" s="2" t="inlineStr">
        <is>
          <t>EX-SCO</t>
        </is>
      </c>
      <c r="B4" s="2" t="inlineStr">
        <is>
          <t>Q2 EXTENDED</t>
        </is>
      </c>
      <c r="C4" s="2" t="inlineStr">
        <is>
          <t>Tier 1</t>
        </is>
      </c>
      <c r="D4" s="2" t="inlineStr">
        <is>
          <t>Scopus</t>
        </is>
      </c>
      <c r="E4" s="8" t="inlineStr">
        <is>
          <t>TITLE-ABS-KEY ( ( "digital twin*" OR "digital shadow*" OR "cyber-physical" ) AND ( "port" OR "terminal" OR "container" OR "maritime" OR "seaport" OR "crane" OR "AGV" OR "automated guided vehicle" OR "wharf" ) AND ( operation* OR logistics OR management OR scheduling OR optimization OR simulation OR monitoring OR maintenance OR visualization OR visualisation OR safety OR security OR decision OR dispatching OR routing OR allocation OR planning OR infrastructure OR "path planning" OR digitali* OR roadmap OR rescheduling ) ) AND PUBYEAR &gt; 2014 AND PUBYEAR &lt; 2027 AND LANGUAGE ( english ) AND DOCTYPE ( ar OR cp OR re ) AND NOT TITLE-ABS-KEY ( "airport*" OR "heliport" OR "serial port" OR "I/O port" OR "USB port" OR "network port" OR "ethernet" OR "transport layer" OR "COM port" OR "port number" OR "wine port" OR "docker" OR "kubernetes" OR "port-Hamiltonian" OR "port Hamiltonian" OR "side-channel" OR "SMT execution port" ) AND NOT TITLE-ABS-KEY ( "patient*" OR "clinical" OR "cancer" OR "tumor" OR "surgery" OR "medical" OR "health care" OR "pharmaceutical" OR "drug" OR "protein" OR "cell" OR "tissue" OR "air terminal" ) AND NOT TITLE-ABS-KEY ( "Port Vila" OR "Port Moresby" OR "Port Said" OR "Port Harcourt" OR "Port-au-Prince" OR "Portsmouth" OR "Newport News" OR "Port Elizabeth" OR "Port Louis" ) AND NOT TITLE-ABS-KEY ( "bulk terminal*" OR "tanker terminal*" OR "oil terminal*" OR "LNG terminal*" OR "coal terminal*" OR "grain terminal*" OR "ore terminal*" OR "cruise terminal*" OR "ferry terminal*" OR "passenger terminal*" OR "roll-on roll-off" OR "Ro-Ro" ) AND NOT TITLE-ABS-KEY ( "port-of-entry" OR "customs clearance" ) AND ( LIMIT-TO ( SUBJAREA , "ENGI" ) OR LIMIT-TO ( SUBJAREA , "COMP" ) OR LIMIT-TO ( SUBJAREA , "DECI" ) OR LIMIT-TO ( SUBJAREA , "EART" ) OR LIMIT-TO ( SUBJAREA , "ENER" ) OR LIMIT-TO ( SUBJAREA , "BUSI" ) OR LIMIT-TO ( SUBJAREA , "SOCI" ) )</t>
        </is>
      </c>
      <c r="F4" s="12" t="n">
        <v>46134</v>
      </c>
      <c r="G4" s="2" t="n">
        <v>1518</v>
      </c>
      <c r="H4" s="8" t="inlineStr">
        <is>
          <t>EXTENDED_Scopus.ris</t>
        </is>
      </c>
      <c r="I4" s="2" t="inlineStr">
        <is>
          <t>Block B: 9 terms, Block C: 27 terms</t>
        </is>
      </c>
    </row>
    <row r="5" ht="43.8" customFormat="1" customHeight="1" s="16">
      <c r="A5" s="14" t="inlineStr">
        <is>
          <t>EX-IEEE</t>
        </is>
      </c>
      <c r="B5" s="14" t="inlineStr">
        <is>
          <t>Q2 EXTENDED</t>
        </is>
      </c>
      <c r="C5" s="14" t="inlineStr">
        <is>
          <t>Tier 1</t>
        </is>
      </c>
      <c r="D5" s="14" t="inlineStr">
        <is>
          <t>IEEE Xplore</t>
        </is>
      </c>
      <c r="E5" s="14" t="inlineStr">
        <is>
          <t>("digital twin" OR "digital shadow" OR "cyber-physical")
AND ("port" OR "terminal" OR "container" OR "maritime" OR "seaport"
     OR "crane" OR "AGV" OR "wharf")
AND (operation OR logistics OR management OR scheduling OR optimi*
     OR simulation OR planning OR allocation OR dispatching OR routing
     OR monitoring OR maintenance OR decision OR rescheduling
     OR "path planning" OR berth OR "yard crane" OR "quay crane")
AND NOT ("airport" OR "airports" OR "heliport" OR "serial port" OR "I/O port" OR "USB port" OR "network port" OR "ethernet" OR "transport layer" OR "COM port" OR "port number" OR "wine port" OR "docker" OR "kubernetes" OR "port-Hamiltonian" OR "side-channel" OR "SMT execution port")
AND NOT ("patient" OR "patients" OR "clinical" OR "cancer" OR "tumor" OR "surgery" OR "medical" OR "health care" OR "pharmaceutical" OR "drug" OR "protein" OR "cell" OR "tissue" OR "air terminal")
AND NOT ("Port Vila" OR "Port Moresby" OR "Port Said" OR "Port Harcourt" OR "Port-au-Prince" OR "Portsmouth" OR "Newport News")
AND NOT ("bulk terminal" OR "tanker terminal" OR "oil terminal" OR "LNG terminal" OR "coal terminal" OR "cruise terminal" OR "ferry terminal" OR "passenger terminal" OR "roll-on roll-off" OR "Ro-Ro" OR "port-of-entry" OR "customs clearance")</t>
        </is>
      </c>
      <c r="F5" s="15" t="n">
        <v>46134</v>
      </c>
      <c r="G5" s="14" t="n">
        <v>1119</v>
      </c>
      <c r="H5" s="14" t="inlineStr">
        <is>
          <t>EXTENDED_IEEE.ris</t>
        </is>
      </c>
      <c r="I5" s="14" t="inlineStr">
        <is>
          <t>Chạy 2 queries và merge qua Rayyan</t>
        </is>
      </c>
    </row>
    <row r="6" ht="43.8" customHeight="1" s="21">
      <c r="A6" s="2" t="inlineStr">
        <is>
          <t>T1-SCO</t>
        </is>
      </c>
      <c r="B6" s="2" t="inlineStr">
        <is>
          <t>Q3 T1 Data Visibility</t>
        </is>
      </c>
      <c r="C6" s="2" t="inlineStr">
        <is>
          <t>Tier 2</t>
        </is>
      </c>
      <c r="D6" s="2" t="inlineStr">
        <is>
          <t>Scopus</t>
        </is>
      </c>
      <c r="E6" s="8" t="inlineStr">
        <is>
          <t>TITLE-ABS-KEY ( ( "smart port" OR "port digitali*" OR "port monitoring" OR "port IoT" OR "intelligent port" ) AND ( "container" OR "terminal" ) ) AND PUBYEAR &gt; 2014 AND PUBYEAR &lt; 2027 AND LANGUAGE ( english ) AND DOCTYPE ( ar OR cp OR re ) AND NOT TITLE-ABS-KEY ( "airport*" OR "heliport" OR "serial port" OR "I/O port" OR "USB port" OR "network port" OR "ethernet" OR "transport layer" OR "COM port" OR "port number" OR "wine port" OR "docker" OR "kubernetes" OR "port-Hamiltonian" OR "port Hamiltonian" OR "side-channel" OR "SMT execution port" ) AND NOT TITLE-ABS-KEY ( "patient*" OR "clinical" OR "cancer" OR "tumor" OR "surgery" OR "medical" OR "health care" OR "pharmaceutical" OR "drug" OR "protein" OR "cell" OR "tissue" OR "air terminal" ) AND NOT TITLE-ABS-KEY ( "Port Vila" OR "Port Moresby" OR "Port Said" OR "Port Harcourt" OR "Port-au-Prince" OR "Portsmouth" OR "Newport News" OR "Port Elizabeth" OR "Port Louis" ) AND NOT TITLE-ABS-KEY ( "bulk terminal*" OR "tanker terminal*" OR "oil terminal*" OR "LNG terminal*" OR "coal terminal*" OR "grain terminal*" OR "ore terminal*" OR "cruise terminal*" OR "ferry terminal*" OR "passenger terminal*" OR "roll-on roll-off" OR "Ro-Ro" ) AND NOT TITLE-ABS-KEY ( "port-of-entry" OR "customs clearance" ) AND ( LIMIT-TO ( SUBJAREA , "ENGI" ) OR LIMIT-TO ( SUBJAREA , "COMP" ) OR LIMIT-TO ( SUBJAREA , "DECI" ) OR LIMIT-TO ( SUBJAREA , "EART" ) OR LIMIT-TO ( SUBJAREA , "ENER" ) OR LIMIT-TO ( SUBJAREA , "BUSI" ) OR LIMIT-TO ( SUBJAREA , "SOCI" ) )</t>
        </is>
      </c>
      <c r="F6" s="12" t="n">
        <v>46134</v>
      </c>
      <c r="G6" s="2" t="n">
        <v>180</v>
      </c>
      <c r="H6" s="8" t="inlineStr">
        <is>
          <t>T1_Scopus.ris</t>
        </is>
      </c>
      <c r="I6" s="2" t="inlineStr">
        <is>
          <t>Level 1</t>
        </is>
      </c>
    </row>
    <row r="7" ht="43.8" customFormat="1" customHeight="1" s="16">
      <c r="A7" s="14" t="inlineStr">
        <is>
          <t>T1-IEEE</t>
        </is>
      </c>
      <c r="B7" s="14" t="inlineStr">
        <is>
          <t>Q3 T1 Data Visibility</t>
        </is>
      </c>
      <c r="C7" s="14" t="inlineStr">
        <is>
          <t>Tier 2</t>
        </is>
      </c>
      <c r="D7" s="14" t="inlineStr">
        <is>
          <t>IEEE Xplore</t>
        </is>
      </c>
      <c r="E7" s="14" t="inlineStr">
        <is>
          <t>("smart port" OR "port digitalization" OR "port digitalisation"
 OR "port monitoring" OR "port IoT" OR "intelligent port")
AND ("container" OR "terminal")
AND NOT ("airport" OR "airports" OR "heliport" OR "serial port" OR "I/O port" OR "USB port" OR "network port" OR "ethernet" OR "transport layer" OR "COM port" OR "port number" OR "wine port" OR "docker" OR "kubernetes" OR "port-Hamiltonian" OR "side-channel" OR "SMT execution port")
AND NOT ("patient" OR "patients" OR "clinical" OR "cancer" OR "tumor" OR "surgery" OR "medical" OR "health care" OR "pharmaceutical" OR "drug" OR "protein" OR "cell" OR "tissue" OR "air terminal")
AND NOT ("Port Vila" OR "Port Moresby" OR "Port Said" OR "Port Harcourt" OR "Port-au-Prince" OR "Portsmouth" OR "Newport News")
AND NOT ("bulk terminal" OR "tanker terminal" OR "oil terminal" OR "LNG terminal" OR "coal terminal" OR "cruise terminal" OR "ferry terminal" OR "passenger terminal" OR "roll-on roll-off" OR "Ro-Ro" OR "port-of-entry" OR "customs clearance")</t>
        </is>
      </c>
      <c r="F7" s="15" t="n">
        <v>46134</v>
      </c>
      <c r="G7" s="14" t="n">
        <v>53</v>
      </c>
      <c r="H7" s="14" t="inlineStr">
        <is>
          <t>T1_IEEE.ris</t>
        </is>
      </c>
      <c r="I7" s="14" t="inlineStr">
        <is>
          <t>Level 1</t>
        </is>
      </c>
    </row>
    <row r="8" ht="43.8" customHeight="1" s="21">
      <c r="A8" s="2" t="inlineStr">
        <is>
          <t>T2-SCO</t>
        </is>
      </c>
      <c r="B8" s="2" t="inlineStr">
        <is>
          <t>Q4 T2 Operational State</t>
        </is>
      </c>
      <c r="C8" s="2" t="inlineStr">
        <is>
          <t>Tier 2</t>
        </is>
      </c>
      <c r="D8" s="2" t="inlineStr">
        <is>
          <t>Scopus</t>
        </is>
      </c>
      <c r="E8" s="8" t="inlineStr">
        <is>
          <t>TITLE-ABS-KEY ( ( "data integration" OR "ontology" OR "process mining" OR "event log" OR "data model*" ) AND ( "container terminal" OR "port" OR "maritime logistics" ) ) AND PUBYEAR &gt; 2014 AND PUBYEAR &lt; 2027 AND LANGUAGE ( english ) AND DOCTYPE ( ar OR cp OR re ) AND NOT TITLE-ABS-KEY ( "airport*" OR "heliport" OR "serial port" OR "I/O port" OR "USB port" OR "network port" OR "ethernet" OR "transport layer" OR "COM port" OR "port number" OR "wine port" OR "docker" OR "kubernetes" OR "port-Hamiltonian" OR "port Hamiltonian" OR "side-channel" OR "SMT execution port" ) AND NOT TITLE-ABS-KEY ( "patient*" OR "clinical" OR "cancer" OR "tumor" OR "surgery" OR "medical" OR "health care" OR "pharmaceutical" OR "drug" OR "protein" OR "cell" OR "tissue" OR "air terminal" ) AND NOT TITLE-ABS-KEY ( "Port Vila" OR "Port Moresby" OR "Port Said" OR "Port Harcourt" OR "Port-au-Prince" OR "Portsmouth" OR "Newport News" OR "Port Elizabeth" OR "Port Louis" ) AND NOT TITLE-ABS-KEY ( "bulk terminal*" OR "tanker terminal*" OR "oil terminal*" OR "LNG terminal*" OR "coal terminal*" OR "grain terminal*" OR "ore terminal*" OR "cruise terminal*" OR "ferry terminal*" OR "passenger terminal*" OR "roll-on roll-off" OR "Ro-Ro" ) AND NOT TITLE-ABS-KEY ( "port-of-entry" OR "customs clearance" ) AND ( LIMIT-TO ( SUBJAREA , "ENGI" ) OR LIMIT-TO ( SUBJAREA , "COMP" ) OR LIMIT-TO ( SUBJAREA , "DECI" ) OR LIMIT-TO ( SUBJAREA , "EART" ) OR LIMIT-TO ( SUBJAREA , "ENER" ) OR LIMIT-TO ( SUBJAREA , "BUSI" ) OR LIMIT-TO ( SUBJAREA , "SOCI" ) )</t>
        </is>
      </c>
      <c r="F8" s="12" t="n">
        <v>46134</v>
      </c>
      <c r="G8" s="2" t="n">
        <v>246</v>
      </c>
      <c r="H8" s="8" t="inlineStr">
        <is>
          <t>T2_Scopus.ris</t>
        </is>
      </c>
      <c r="I8" s="2" t="inlineStr">
        <is>
          <t>Level 2 → Paper 1</t>
        </is>
      </c>
    </row>
    <row r="9" ht="43.8" customFormat="1" customHeight="1" s="16">
      <c r="A9" s="14" t="inlineStr">
        <is>
          <t>T2-IEEE</t>
        </is>
      </c>
      <c r="B9" s="14" t="inlineStr">
        <is>
          <t>Q4 T2 Operational State</t>
        </is>
      </c>
      <c r="C9" s="14" t="inlineStr">
        <is>
          <t>Tier 2</t>
        </is>
      </c>
      <c r="D9" s="14" t="inlineStr">
        <is>
          <t>IEEE Xplore</t>
        </is>
      </c>
      <c r="E9" s="14" t="inlineStr">
        <is>
          <t>("data integration" OR "ontology" OR "process mining"
 OR "event log" OR "data model" OR "data modeling" OR "data modelling")
AND ("container terminal" OR "port" OR "maritime logistics")
AND NOT ("airport" OR "airports" OR "heliport" OR "serial port" OR "I/O port" OR "USB port" OR "network port" OR "ethernet" OR "transport layer" OR "COM port" OR "port number" OR "wine port" OR "docker" OR "kubernetes" OR "port-Hamiltonian" OR "side-channel" OR "SMT execution port")
AND NOT ("patient" OR "patients" OR "clinical" OR "cancer" OR "tumor" OR "surgery" OR "medical" OR "health care" OR "pharmaceutical" OR "drug" OR "protein" OR "cell" OR "tissue" OR "air terminal")
AND NOT ("Port Vila" OR "Port Moresby" OR "Port Said" OR "Port Harcourt" OR "Port-au-Prince" OR "Portsmouth" OR "Newport News")
AND NOT ("bulk terminal" OR "tanker terminal" OR "oil terminal" OR "LNG terminal" OR "coal terminal" OR "cruise terminal" OR "ferry terminal" OR "passenger terminal" OR "roll-on roll-off" OR "Ro-Ro" OR "port-of-entry" OR "customs clearance")</t>
        </is>
      </c>
      <c r="F9" s="15" t="n">
        <v>46134</v>
      </c>
      <c r="G9" s="14" t="n">
        <v>154</v>
      </c>
      <c r="H9" s="14" t="inlineStr">
        <is>
          <t>T2_IEEE.ris</t>
        </is>
      </c>
      <c r="I9" s="14" t="inlineStr">
        <is>
          <t>Level 2 → Paper 1</t>
        </is>
      </c>
    </row>
    <row r="10" ht="43.8" customHeight="1" s="21">
      <c r="A10" s="2" t="inlineStr">
        <is>
          <t>T3-SCO</t>
        </is>
      </c>
      <c r="B10" s="2" t="inlineStr">
        <is>
          <t>Q5 T3 Decision Support</t>
        </is>
      </c>
      <c r="C10" s="2" t="inlineStr">
        <is>
          <t>Tier 2</t>
        </is>
      </c>
      <c r="D10" s="2" t="inlineStr">
        <is>
          <t>Scopus</t>
        </is>
      </c>
      <c r="E10" s="8" t="inlineStr">
        <is>
          <t>TITLE-ABS-KEY ( ( "berth allocation" OR "quay crane scheduling" OR "yard management" OR "yard allocation" OR "container scheduling" OR "terminal optimization" OR "AGV dispatching" OR "AGV scheduling" OR "AGV routing" OR "vehicle scheduling" ) AND ( "reinforcement learning" OR "MILP" OR "metaheuristic" OR "deep learning" OR "hybrid optimization" OR "rolling horizon" OR "deep reinforcement" ) ) AND PUBYEAR &gt; 2014 AND PUBYEAR &lt; 2027 AND LANGUAGE ( english ) AND DOCTYPE ( ar OR cp OR re ) AND NOT TITLE-ABS-KEY ( "airport*" OR "heliport" OR "serial port" OR "I/O port" OR "USB port" OR "network port" OR "ethernet" OR "transport layer" OR "COM port" OR "port number" OR "wine port" OR "docker" OR "kubernetes" OR "port-Hamiltonian" OR "port Hamiltonian" OR "side-channel" OR "SMT execution port" ) AND NOT TITLE-ABS-KEY ( "patient*" OR "clinical" OR "cancer" OR "tumor" OR "surgery" OR "medical" OR "health care" OR "pharmaceutical" OR "drug" OR "protein" OR "cell" OR "tissue" OR "air terminal" ) AND NOT TITLE-ABS-KEY ( "Port Vila" OR "Port Moresby" OR "Port Said" OR "Port Harcourt" OR "Port-au-Prince" OR "Portsmouth" OR "Newport News" OR "Port Elizabeth" OR "Port Louis" ) AND NOT TITLE-ABS-KEY ( "bulk terminal*" OR "tanker terminal*" OR "oil terminal*" OR "LNG terminal*" OR "coal terminal*" OR "grain terminal*" OR "ore terminal*" OR "cruise terminal*" OR "ferry terminal*" OR "passenger terminal*" OR "roll-on roll-off" OR "Ro-Ro" ) AND NOT TITLE-ABS-KEY ( "port-of-entry" OR "customs clearance" ) AND ( LIMIT-TO ( SUBJAREA , "ENGI" ) OR LIMIT-TO ( SUBJAREA , "COMP" ) OR LIMIT-TO ( SUBJAREA , "DECI" ) OR LIMIT-TO ( SUBJAREA , "EART" ) OR LIMIT-TO ( SUBJAREA , "ENER" ) OR LIMIT-TO ( SUBJAREA , "BUSI" ) OR LIMIT-TO ( SUBJAREA , "SOCI" ) )</t>
        </is>
      </c>
      <c r="F10" s="12" t="n">
        <v>46134</v>
      </c>
      <c r="G10" s="2" t="n">
        <v>422</v>
      </c>
      <c r="H10" s="8" t="inlineStr">
        <is>
          <t>T3_Scopus.ris</t>
        </is>
      </c>
      <c r="I10" s="2" t="inlineStr">
        <is>
          <t>Level 3 → Paper 2</t>
        </is>
      </c>
    </row>
    <row r="11" ht="43.8" customFormat="1" customHeight="1" s="16">
      <c r="A11" s="14" t="inlineStr">
        <is>
          <t>T3-IEEE</t>
        </is>
      </c>
      <c r="B11" s="14" t="inlineStr">
        <is>
          <t>Q5 T3 Decision Support</t>
        </is>
      </c>
      <c r="C11" s="14" t="inlineStr">
        <is>
          <t>Tier 2</t>
        </is>
      </c>
      <c r="D11" s="14" t="inlineStr">
        <is>
          <t>IEEE Xplore</t>
        </is>
      </c>
      <c r="E11" s="14" t="inlineStr">
        <is>
          <t>("berth allocation" OR "quay crane scheduling" OR "yard management"
 OR "yard allocation" OR "container scheduling" OR "terminal optimization"
 OR "AGV dispatching" OR "AGV scheduling" OR "AGV routing"
 OR "vehicle scheduling")
AND ("reinforcement learning" OR "MILP" OR "metaheuristic"
     OR "deep learning" OR "hybrid optimization" OR "rolling horizon"
     OR "deep reinforcement")
AND NOT ("airport" OR "airports" OR "heliport" OR "serial port" OR "I/O port" OR "USB port" OR "network port" OR "ethernet" OR "transport layer" OR "COM port" OR "port number" OR "wine port" OR "docker" OR "kubernetes" OR "port-Hamiltonian" OR "side-channel" OR "SMT execution port")
AND NOT ("patient" OR "patients" OR "clinical" OR "cancer" OR "tumor" OR "surgery" OR "medical" OR "health care" OR "pharmaceutical" OR "drug" OR "protein" OR "cell" OR "tissue" OR "air terminal")
AND NOT ("Port Vila" OR "Port Moresby" OR "Port Said" OR "Port Harcourt" OR "Port-au-Prince" OR "Portsmouth" OR "Newport News")
AND NOT ("bulk terminal" OR "tanker terminal" OR "oil terminal" OR "LNG terminal" OR "coal terminal" OR "cruise terminal" OR "ferry terminal" OR "passenger terminal" OR "roll-on roll-off" OR "Ro-Ro" OR "port-of-entry" OR "customs clearance")</t>
        </is>
      </c>
      <c r="F11" s="15" t="n">
        <v>46134</v>
      </c>
      <c r="G11" s="14" t="n">
        <v>135</v>
      </c>
      <c r="H11" s="14" t="inlineStr">
        <is>
          <t>T3_IEEE.ris</t>
        </is>
      </c>
      <c r="I11" s="14" t="inlineStr">
        <is>
          <t>Level 3 → Paper 2</t>
        </is>
      </c>
    </row>
    <row r="12" ht="43.8" customHeight="1" s="21">
      <c r="A12" s="2" t="inlineStr">
        <is>
          <t>T4-SCO</t>
        </is>
      </c>
      <c r="B12" s="2" t="inlineStr">
        <is>
          <t>Q6 T4 Simulation V&amp;V</t>
        </is>
      </c>
      <c r="C12" s="2" t="inlineStr">
        <is>
          <t>Tier 2</t>
        </is>
      </c>
      <c r="D12" s="2" t="inlineStr">
        <is>
          <t>Scopus</t>
        </is>
      </c>
      <c r="E12" s="8" t="inlineStr">
        <is>
          <t>TITLE-ABS-KEY ( ( "discrete event simulation" OR "agent-based simulation" OR "simulation model" OR "emulation" ) AND ( "container terminal" OR "port operations" OR "terminal operations" ) AND ( "valid*" OR "verif*" OR "calibrat*" OR "what-if" ) ) AND PUBYEAR &gt; 2014 AND PUBYEAR &lt; 2027 AND LANGUAGE ( english ) AND DOCTYPE ( ar OR cp OR re ) AND NOT TITLE-ABS-KEY ( "airport*" OR "heliport" OR "serial port" OR "I/O port" OR "USB port" OR "network port" OR "ethernet" OR "transport layer" OR "COM port" OR "port number" OR "wine port" OR "docker" OR "kubernetes" OR "port-Hamiltonian" OR "port Hamiltonian" OR "side-channel" OR "SMT execution port" ) AND NOT TITLE-ABS-KEY ( "patient*" OR "clinical" OR "cancer" OR "tumor" OR "surgery" OR "medical" OR "health care" OR "pharmaceutical" OR "drug" OR "protein" OR "cell" OR "tissue" OR "air terminal" ) AND NOT TITLE-ABS-KEY ( "Port Vila" OR "Port Moresby" OR "Port Said" OR "Port Harcourt" OR "Port-au-Prince" OR "Portsmouth" OR "Newport News" OR "Port Elizabeth" OR "Port Louis" ) AND NOT TITLE-ABS-KEY ( "bulk terminal*" OR "tanker terminal*" OR "oil terminal*" OR "LNG terminal*" OR "coal terminal*" OR "grain terminal*" OR "ore terminal*" OR "cruise terminal*" OR "ferry terminal*" OR "passenger terminal*" OR "roll-on roll-off" OR "Ro-Ro" ) AND NOT TITLE-ABS-KEY ( "port-of-entry" OR "customs clearance" ) AND ( LIMIT-TO ( SUBJAREA , "ENGI" ) OR LIMIT-TO ( SUBJAREA , "COMP" ) OR LIMIT-TO ( SUBJAREA , "DECI" ) OR LIMIT-TO ( SUBJAREA , "EART" ) OR LIMIT-TO ( SUBJAREA , "ENER" ) OR LIMIT-TO ( SUBJAREA , "BUSI" ) OR LIMIT-TO ( SUBJAREA , "SOCI" ) )</t>
        </is>
      </c>
      <c r="F12" s="12" t="n">
        <v>46134</v>
      </c>
      <c r="G12" s="2" t="n">
        <v>54</v>
      </c>
      <c r="H12" s="8" t="inlineStr">
        <is>
          <t>T4_Scopus.ris</t>
        </is>
      </c>
      <c r="I12" s="2" t="inlineStr">
        <is>
          <t>Level 4 → Paper 3</t>
        </is>
      </c>
    </row>
    <row r="13" ht="43.8" customFormat="1" customHeight="1" s="16">
      <c r="A13" s="14" t="inlineStr">
        <is>
          <t>T4-IEEE</t>
        </is>
      </c>
      <c r="B13" s="14" t="inlineStr">
        <is>
          <t>Q6 T4 Simulation V&amp;V</t>
        </is>
      </c>
      <c r="C13" s="14" t="inlineStr">
        <is>
          <t>Tier 2</t>
        </is>
      </c>
      <c r="D13" s="14" t="inlineStr">
        <is>
          <t>IEEE Xplore</t>
        </is>
      </c>
      <c r="E13" s="14" t="inlineStr">
        <is>
          <t>("discrete event simulation" OR "agent-based simulation"
 OR "simulation model" OR "emulation")
AND ("container terminal" OR "port operations" OR "terminal operations")
AND ("validation" OR "validate" OR "verification" OR "verify"
     OR "calibration" OR "calibrate" OR "what-if")
AND NOT ("airport" OR "airports" OR "heliport" OR "serial port" OR "I/O port" OR "USB port" OR "network port" OR "ethernet" OR "transport layer" OR "COM port" OR "port number" OR "wine port" OR "docker" OR "kubernetes" OR "port-Hamiltonian" OR "side-channel" OR "SMT execution port")
AND NOT ("patient" OR "patients" OR "clinical" OR "cancer" OR "tumor" OR "surgery" OR "medical" OR "health care" OR "pharmaceutical" OR "drug" OR "protein" OR "cell" OR "tissue" OR "air terminal")
AND NOT ("Port Vila" OR "Port Moresby" OR "Port Said" OR "Port Harcourt" OR "Port-au-Prince" OR "Portsmouth" OR "Newport News")
AND NOT ("bulk terminal" OR "tanker terminal" OR "oil terminal" OR "LNG terminal" OR "coal terminal" OR "cruise terminal" OR "ferry terminal" OR "passenger terminal" OR "roll-on roll-off" OR "Ro-Ro" OR "port-of-entry" OR "customs clearance")</t>
        </is>
      </c>
      <c r="F13" s="15" t="n">
        <v>46134</v>
      </c>
      <c r="G13" s="14" t="n">
        <v>10</v>
      </c>
      <c r="H13" s="14" t="inlineStr">
        <is>
          <t>T4_IEEE.ris</t>
        </is>
      </c>
      <c r="I13" s="14" t="inlineStr">
        <is>
          <t>Level 4 → Paper 3</t>
        </is>
      </c>
    </row>
    <row r="14" ht="43.8" customHeight="1" s="21">
      <c r="A14" s="2" t="inlineStr">
        <is>
          <t>T5-SCO</t>
        </is>
      </c>
      <c r="B14" s="2" t="inlineStr">
        <is>
          <t>Q7 T5 Developing Economy</t>
        </is>
      </c>
      <c r="C14" s="2" t="inlineStr">
        <is>
          <t>Tier 2</t>
        </is>
      </c>
      <c r="D14" s="2" t="inlineStr">
        <is>
          <t>Scopus</t>
        </is>
      </c>
      <c r="E14" s="8" t="inlineStr">
        <is>
          <t>TITLE-ABS-KEY ( ( "Vietnam*" OR "Southeast Asia*" OR "developing countr*" OR "emerging econom*" OR "developing port*" ) AND ( "port" OR "container terminal" OR "maritime" ) AND ( "digital*" OR "smart" OR "automat*" OR "information system" OR "industry 4.0" ) AND ( "digital twin*" OR "digital shadow*" OR "simulation" OR "optim*" OR "scheduling" OR "AGV" OR "crane" OR "berth*" OR "yard" OR "IoT" ) ) AND PUBYEAR &gt; 2014 AND PUBYEAR &lt; 2027 AND LANGUAGE ( english ) AND DOCTYPE ( ar OR cp OR re ) AND NOT TITLE-ABS-KEY ( "airport*" OR "heliport" OR "serial port" OR "I/O port" OR "USB port" OR "network port" OR "ethernet" OR "transport layer" OR "COM port" OR "port number" OR "wine port" OR "docker" OR "kubernetes" OR "port-Hamiltonian" OR "port Hamiltonian" OR "side-channel" OR "SMT execution port" ) AND NOT TITLE-ABS-KEY ( "patient*" OR "clinical" OR "cancer" OR "tumor" OR "surgery" OR "medical" OR "health care" OR "pharmaceutical" OR "drug" OR "protein" OR "cell" OR "tissue" OR "air terminal" ) AND NOT TITLE-ABS-KEY ( "Port Vila" OR "Port Moresby" OR "Port Said" OR "Port Harcourt" OR "Port-au-Prince" OR "Portsmouth" OR "Newport News" OR "Port Elizabeth" OR "Port Louis" ) AND NOT TITLE-ABS-KEY ( "bulk terminal*" OR "tanker terminal*" OR "oil terminal*" OR "LNG terminal*" OR "coal terminal*" OR "grain terminal*" OR "ore terminal*" OR "cruise terminal*" OR "ferry terminal*" OR "passenger terminal*" OR "roll-on roll-off" OR "Ro-Ro" ) AND NOT TITLE-ABS-KEY ( "port-of-entry" OR "customs clearance" ) AND ( LIMIT-TO ( SUBJAREA , "ENGI" ) OR LIMIT-TO ( SUBJAREA , "COMP" ) OR LIMIT-TO ( SUBJAREA , "DECI" ) OR LIMIT-TO ( SUBJAREA , "EART" ) OR LIMIT-TO ( SUBJAREA , "ENER" ) OR LIMIT-TO ( SUBJAREA , "BUSI" ) OR LIMIT-TO ( SUBJAREA , "SOCI" ) )</t>
        </is>
      </c>
      <c r="F14" s="12" t="n">
        <v>46134</v>
      </c>
      <c r="G14" s="2" t="n">
        <v>34</v>
      </c>
      <c r="H14" s="8" t="inlineStr">
        <is>
          <t>T5_Scopus.ris</t>
        </is>
      </c>
      <c r="I14" s="2" t="inlineStr">
        <is>
          <t>Cross → Backup B</t>
        </is>
      </c>
    </row>
    <row r="15" ht="43.8" customFormat="1" customHeight="1" s="16">
      <c r="A15" s="14" t="inlineStr">
        <is>
          <t>T5-IEEE</t>
        </is>
      </c>
      <c r="B15" s="14" t="inlineStr">
        <is>
          <t>Q7 T5 Developing Economy</t>
        </is>
      </c>
      <c r="C15" s="14" t="inlineStr">
        <is>
          <t>Tier 2</t>
        </is>
      </c>
      <c r="D15" s="14" t="inlineStr">
        <is>
          <t>IEEE Xplore</t>
        </is>
      </c>
      <c r="E15" s="14" t="inlineStr">
        <is>
          <t>("Vietnam" OR "Vietnamese" OR "Southeast Asia" OR "Southeast Asian"
 OR "developing country" OR "developing countries"
 OR "emerging economy" OR "emerging economies" OR "developing port")
AND ("port" OR "container terminal" OR "maritime")
AND ("digital" OR "digitalization" OR "digitalisation"
     OR "smart" OR "automation" OR "automated"
     OR "information system" OR "industry 4.0")
AND ("digital twin" OR "digital shadow" OR "simulation" OR "optimization"
     OR "scheduling" OR "AGV" OR "crane" OR "berth" OR "yard" OR "IoT")
AND NOT ("airport" OR "airports" OR "heliport" OR "serial port" OR "I/O port" OR "USB port" OR "network port" OR "ethernet" OR "transport layer" OR "COM port" OR "port number" OR "wine port" OR "docker" OR "kubernetes" OR "port-Hamiltonian" OR "side-channel" OR "SMT execution port")
AND NOT ("patient" OR "patients" OR "clinical" OR "cancer" OR "tumor" OR "surgery" OR "medical" OR "health care" OR "pharmaceutical" OR "drug" OR "protein" OR "cell" OR "tissue" OR "air terminal")
AND NOT ("Port Vila" OR "Port Moresby" OR "Port Said" OR "Port Harcourt" OR "Port-au-Prince" OR "Portsmouth" OR "Newport News")
AND NOT ("bulk terminal" OR "tanker terminal" OR "oil terminal" OR "LNG terminal" OR "coal terminal" OR "cruise terminal" OR "ferry terminal" OR "passenger terminal" OR "roll-on roll-off" OR "Ro-Ro" OR "port-of-entry" OR "customs clearance")</t>
        </is>
      </c>
      <c r="F15" s="15" t="n">
        <v>46134</v>
      </c>
      <c r="G15" s="14" t="n">
        <v>54</v>
      </c>
      <c r="H15" s="14" t="inlineStr">
        <is>
          <t>T5_IEEE.ris</t>
        </is>
      </c>
      <c r="I15" s="14" t="inlineStr">
        <is>
          <t>Cross → Backup B</t>
        </is>
      </c>
    </row>
    <row r="16" ht="43.8" customHeight="1" s="21">
      <c r="A16" s="2" t="inlineStr">
        <is>
          <t>T6-SCO</t>
        </is>
      </c>
      <c r="B16" s="2" t="inlineStr">
        <is>
          <t>Q8 T6 Visualization/3D/4D/GIS</t>
        </is>
      </c>
      <c r="C16" s="2" t="inlineStr">
        <is>
          <t>Tier 2</t>
        </is>
      </c>
      <c r="D16" s="2" t="inlineStr">
        <is>
          <t>Scopus</t>
        </is>
      </c>
      <c r="E16" s="8" t="inlineStr">
        <is>
          <t>TITLE-ABS-KEY ( ( ( "digital twin*" OR "digital shadow*" ) AND ( "visualization" OR "visualisation" OR "3D" OR "4D" OR "mixed reality" OR "augmented reality" OR "virtual reality" ) AND ( "port" OR "terminal" OR "maritime" OR "seaport" OR "container" ) ) OR ( ( "GIS" OR "geographic information" OR "spatiotemporal" OR "digital map" OR "spatial analysis" ) AND ( "seaport*" OR "container terminal*" OR "port operation*" OR "maritime port*" OR "smart port*" OR "port terminal*" ) ) ) AND PUBYEAR &gt; 2014 AND PUBYEAR &lt; 2027 AND LANGUAGE ( english ) AND DOCTYPE ( ar OR cp OR re ) AND NOT TITLE-ABS-KEY ( "airport*" OR "heliport" OR "serial port" OR "I/O port" OR "USB port" OR "network port" OR "ethernet" OR "transport layer" OR "COM port" OR "port number" OR "wine port" OR "docker" OR "kubernetes" OR "port-Hamiltonian" OR "port Hamiltonian" OR "side-channel" OR "SMT execution port" ) AND NOT TITLE-ABS-KEY ( "patient*" OR "clinical" OR "cancer" OR "tumor" OR "surgery" OR "medical" OR "health care" OR "pharmaceutical" OR "drug" OR "protein" OR "cell" OR "tissue" OR "air terminal" ) AND NOT TITLE-ABS-KEY ( "Port Vila" OR "Port Moresby" OR "Port Said" OR "Port Harcourt" OR "Port-au-Prince" OR "Portsmouth" OR "Newport News" OR "Port Elizabeth" OR "Port Louis" ) AND NOT TITLE-ABS-KEY ( "bulk terminal*" OR "tanker terminal*" OR "oil terminal*" OR "LNG terminal*" OR "coal terminal*" OR "grain terminal*" OR "ore terminal*" OR "cruise terminal*" OR "ferry terminal*" OR "passenger terminal*" OR "roll-on roll-off" OR "Ro-Ro" ) AND NOT TITLE-ABS-KEY ( "port-of-entry" OR "customs clearance" ) AND ( LIMIT-TO ( SUBJAREA , "ENGI" ) OR LIMIT-TO ( SUBJAREA , "COMP" ) OR LIMIT-TO ( SUBJAREA , "DECI" ) OR LIMIT-TO ( SUBJAREA , "EART" ) OR LIMIT-TO ( SUBJAREA , "ENER" ) OR LIMIT-TO ( SUBJAREA , "BUSI" ) OR LIMIT-TO ( SUBJAREA , "SOCI" ) )</t>
        </is>
      </c>
      <c r="F16" s="12" t="n">
        <v>46134</v>
      </c>
      <c r="G16" s="2" t="n">
        <v>345</v>
      </c>
      <c r="H16" s="8" t="inlineStr">
        <is>
          <t>T6_Scopus.ris</t>
        </is>
      </c>
      <c r="I16" s="2" t="inlineStr">
        <is>
          <t>L1+L4 → Paper 3 + Backup C</t>
        </is>
      </c>
    </row>
    <row r="17" ht="43.8" customFormat="1" customHeight="1" s="16">
      <c r="A17" s="14" t="inlineStr">
        <is>
          <t>T6-IEEE</t>
        </is>
      </c>
      <c r="B17" s="14" t="inlineStr">
        <is>
          <t>Q8 T6 Visualization/3D/4D/GIS</t>
        </is>
      </c>
      <c r="C17" s="14" t="inlineStr">
        <is>
          <t>Tier 2</t>
        </is>
      </c>
      <c r="D17" s="14" t="inlineStr">
        <is>
          <t>IEEE Xplore</t>
        </is>
      </c>
      <c r="E17" s="14" t="inlineStr">
        <is>
          <t>(
  ( ("digital twin" OR "digital twins" OR "digital twin-based" OR "digital shadow")
    AND ("visualization" OR "visualisation" OR "3D" OR "4D"
         OR "mixed reality" OR "augmented reality" OR "virtual reality")
    AND ("port" OR "terminal" OR "maritime" OR "seaport" OR "container") )
  OR
  ( ("GIS" OR "geographic information" OR "spatiotemporal"
     OR "digital map" OR "spatial analysis")
    AND ("seaport" OR "container terminal" OR "port operation"
         OR "port operations" OR "maritime port" OR "smart port"
         OR "port terminal") )
)
AND NOT ("airport" OR "airports" OR "heliport" OR "serial port" OR "I/O port" OR "USB port" OR "network port" OR "ethernet" OR "transport layer" OR "COM port" OR "port number" OR "wine port" OR "docker" OR "kubernetes" OR "port-Hamiltonian" OR "side-channel" OR "SMT execution port")
AND NOT ("patient" OR "patients" OR "clinical" OR "cancer" OR "tumor" OR "surgery" OR "medical" OR "health care" OR "pharmaceutical" OR "drug" OR "protein" OR "cell" OR "tissue" OR "air terminal")
AND NOT ("Port Vila" OR "Port Moresby" OR "Port Said" OR "Port Harcourt" OR "Port-au-Prince" OR "Portsmouth" OR "Newport News")
AND NOT ("bulk terminal" OR "tanker terminal" OR "oil terminal" OR "LNG terminal" OR "coal terminal" OR "cruise terminal" OR "ferry terminal" OR "passenger terminal" OR "roll-on roll-off" OR "Ro-Ro" OR "port-of-entry" OR "customs clearance")</t>
        </is>
      </c>
      <c r="F17" s="15" t="n">
        <v>46134</v>
      </c>
      <c r="G17" s="14" t="n">
        <v>110</v>
      </c>
      <c r="H17" s="14" t="inlineStr">
        <is>
          <t>T6_IEEE.ris</t>
        </is>
      </c>
      <c r="I17" s="14" t="inlineStr">
        <is>
          <t>L1+L4 → Paper 3 + Backup C</t>
        </is>
      </c>
    </row>
    <row r="18" ht="43.8" customHeight="1" s="21">
      <c r="A18" s="2" t="inlineStr">
        <is>
          <t>T7-SCO</t>
        </is>
      </c>
      <c r="B18" s="2" t="inlineStr">
        <is>
          <t>Q9 T7 Monitoring/Maintenance</t>
        </is>
      </c>
      <c r="C18" s="2" t="inlineStr">
        <is>
          <t>Tier 2</t>
        </is>
      </c>
      <c r="D18" s="2" t="inlineStr">
        <is>
          <t>Scopus</t>
        </is>
      </c>
      <c r="E18" s="8" t="inlineStr">
        <is>
          <t>TITLE-ABS-KEY ( ( ( "digital twin*" OR "digital shadow*" ) AND ( "monitoring" OR "maintenance" OR "predictive maintenance" OR "condition monitoring" OR "asset management" OR "structural health" OR "fault detection" ) AND ( "port" OR "terminal" OR "crane" OR "quay" OR "gantry" OR "wharf" OR "maritime" ) ) OR ( ( "monitoring" OR "maintenance" OR "predictive maintenance" OR "condition monitoring" OR "asset management" ) AND ( "seaport*" OR "container terminal*" OR "port operation*" OR "quay crane*" OR "gantry crane*" OR "port terminal*" OR "maritime port*" ) AND ( "IoT" OR "sensor" OR "smart" OR "5G" OR "real-time" OR "data-driven" OR "automated" ) ) ) AND PUBYEAR &gt; 2014 AND PUBYEAR &lt; 2027 AND LANGUAGE ( english ) AND DOCTYPE ( ar OR cp OR re ) AND NOT TITLE-ABS-KEY ( "airport*" OR "heliport" OR "serial port" OR "I/O port" OR "USB port" OR "network port" OR "ethernet" OR "transport layer" OR "COM port" OR "port number" OR "wine port" OR "docker" OR "kubernetes" OR "port-Hamiltonian" OR "port Hamiltonian" OR "side-channel" OR "SMT execution port" ) AND NOT TITLE-ABS-KEY ( "patient*" OR "clinical" OR "cancer" OR "tumor" OR "surgery" OR "medical" OR "health care" OR "pharmaceutical" OR "drug" OR "protein" OR "cell" OR "tissue" OR "air terminal" ) AND NOT TITLE-ABS-KEY ( "Port Vila" OR "Port Moresby" OR "Port Said" OR "Port Harcourt" OR "Port-au-Prince" OR "Portsmouth" OR "Newport News" OR "Port Elizabeth" OR "Port Louis" ) AND NOT TITLE-ABS-KEY ( "bulk terminal*" OR "tanker terminal*" OR "oil terminal*" OR "LNG terminal*" OR "coal terminal*" OR "grain terminal*" OR "ore terminal*" OR "cruise terminal*" OR "ferry terminal*" OR "passenger terminal*" OR "roll-on roll-off" OR "Ro-Ro" ) AND NOT TITLE-ABS-KEY ( "port-of-entry" OR "customs clearance" ) AND ( LIMIT-TO ( SUBJAREA , "ENGI" ) OR LIMIT-TO ( SUBJAREA , "COMP" ) OR LIMIT-TO ( SUBJAREA , "DECI" ) OR LIMIT-TO ( SUBJAREA , "EART" ) OR LIMIT-TO ( SUBJAREA , "ENER" ) OR LIMIT-TO ( SUBJAREA , "BUSI" ) OR LIMIT-TO ( SUBJAREA , "SOCI" ) ) AND NOT TITLE-ABS-KEY ( "bridge structur*" OR "wharf corrosion" OR "seismic" OR "earthquake" OR "concrete deteriorat*" )</t>
        </is>
      </c>
      <c r="F18" s="12" t="n">
        <v>46134</v>
      </c>
      <c r="G18" s="2" t="n">
        <v>483</v>
      </c>
      <c r="H18" s="8" t="inlineStr">
        <is>
          <t>T7_Scopus.ris</t>
        </is>
      </c>
      <c r="I18" s="2" t="inlineStr">
        <is>
          <t>Level 1</t>
        </is>
      </c>
      <c r="J18" s="9" t="inlineStr">
        <is>
          <t>TITLE-ABS-KEY ( ( ( "digital twin*" OR "digital shadow*" ) AND ( "monitoring" OR "maintenance" OR "predictive maintenance" OR "condition monitoring" OR "asset management" OR "structural health" OR "fault detection" ) AND ( "port" OR "terminal" OR "crane" OR "quay" OR "gantry" OR "wharf" OR "maritime" ) ) OR ( ( "monitoring" OR "maintenance" OR "predictive maintenance" OR "condition monitoring" OR "asset management" ) AND ( "seaport*" OR "container terminal*" OR "port operation*" OR "quay crane*" OR "gantry crane*" OR "port terminal*" OR "maritime port*" ) ) ) AND PUBYEAR &gt; 2014 AND PUBYEAR &lt; 2027 AND LANGUAGE ( english ) AND DOCTYPE ( ar OR cp OR re ) AND NOT TITLE-ABS-KEY ( "airport*" OR "heliport" OR "serial port" OR "I/O port" OR "USB port" OR "network port" OR "ethernet" OR "transport layer" OR "COM port" OR "port number" OR "wine port" OR "docker" ) AND NOT TITLE-ABS-KEY ( "patient*" OR "clinical" OR "cancer" OR "tumor" OR "surgery" OR "medical" OR "health care" OR "pharmaceutical" OR "drug" OR "protein" OR "cell" OR "tissue" OR "airport" OR "air terminal" ) AND ( LIMIT-TO ( SUBJAREA , "ENGI" ) OR LIMIT-TO ( SUBJAREA , "COMP" ) OR LIMIT-TO ( SUBJAREA , "DECI" ) OR LIMIT-TO ( SUBJAREA , "EART" ) OR LIMIT-TO ( SUBJAREA , "ENER" ) OR LIMIT-TO ( SUBJAREA , "BUSI" ) OR LIMIT-TO ( SUBJAREA , "SOCI" ) )</t>
        </is>
      </c>
      <c r="K18" s="10" t="n">
        <v>970</v>
      </c>
    </row>
    <row r="19" ht="43.8" customFormat="1" customHeight="1" s="16">
      <c r="A19" s="14" t="inlineStr">
        <is>
          <t>T7-IEEE</t>
        </is>
      </c>
      <c r="B19" s="14" t="inlineStr">
        <is>
          <t>Q9 T7 Monitoring/Maintenance</t>
        </is>
      </c>
      <c r="C19" s="14" t="inlineStr">
        <is>
          <t>Tier 2</t>
        </is>
      </c>
      <c r="D19" s="14" t="inlineStr">
        <is>
          <t>IEEE Xplore</t>
        </is>
      </c>
      <c r="E19" s="14" t="inlineStr">
        <is>
          <t>(
  ( ("digital twin" OR "digital twins" OR "digital twin-based" OR "digital shadow")
    AND ("monitoring" OR "maintenance" OR "predictive maintenance"
         OR "condition monitoring" OR "asset management"
         OR "structural health" OR "fault detection")
    AND ("port" OR "terminal" OR "crane" OR "quay"
         OR "gantry" OR "wharf" OR "maritime") )
  OR
  ( ("monitoring" OR "maintenance" OR "predictive maintenance"
     OR "condition monitoring" OR "asset management")
    AND ("seaport" OR "container terminal" OR "port operation"
         OR "port operations" OR "quay crane" OR "gantry crane"
         OR "port terminal" OR "maritime port")
    AND ("IoT" OR "sensor" OR "smart" OR "5G"
         OR "real-time" OR "data-driven" OR "automated") )
)
AND NOT ("bridge structure" OR "wharf corrosion" OR "seismic" OR "earthquake")
AND NOT ("airport" OR "airports" OR "heliport" OR "serial port" OR "I/O port" OR "USB port" OR "network port" OR "ethernet" OR "transport layer" OR "COM port" OR "port number" OR "wine port" OR "docker" OR "kubernetes" OR "port-Hamiltonian" OR "side-channel" OR "SMT execution port")
AND NOT ("patient" OR "patients" OR "clinical" OR "cancer" OR "tumor" OR "surgery" OR "medical" OR "health care" OR "pharmaceutical" OR "drug" OR "protein" OR "cell" OR "tissue" OR "air terminal")
AND NOT ("Port Vila" OR "Port Moresby" OR "Port Said" OR "Port Harcourt" OR "Port-au-Prince" OR "Portsmouth" OR "Newport News")
AND NOT ("bulk terminal" OR "tanker terminal" OR "oil terminal" OR "LNG terminal" OR "coal terminal" OR "cruise terminal" OR "ferry terminal" OR "passenger terminal" OR "roll-on roll-off" OR "Ro-Ro" OR "port-of-entry" OR "customs clearance")</t>
        </is>
      </c>
      <c r="F19" s="15" t="n">
        <v>46134</v>
      </c>
      <c r="G19" s="14" t="n">
        <v>246</v>
      </c>
      <c r="H19" s="14" t="inlineStr">
        <is>
          <t>T7_IEEE.ris</t>
        </is>
      </c>
      <c r="I19" s="14" t="inlineStr">
        <is>
          <t>Level 1</t>
        </is>
      </c>
    </row>
    <row r="20" ht="43.8" customHeight="1" s="21">
      <c r="A20" s="2" t="inlineStr">
        <is>
          <t>GS-1</t>
        </is>
      </c>
      <c r="B20" s="2" t="inlineStr">
        <is>
          <t>Q10 GS: DT+CT+scheduling</t>
        </is>
      </c>
      <c r="C20" s="2" t="inlineStr">
        <is>
          <t>Tier 3</t>
        </is>
      </c>
      <c r="D20" s="2" t="inlineStr">
        <is>
          <t>Google Scholar</t>
        </is>
      </c>
      <c r="E20" s="2" t="inlineStr">
        <is>
          <t>"digital twin" "container terminal" scheduling optimization -airport -heliport -patient -clinical -medical -docker -kubernetes -"port Hamiltonian" -"Port Vila" -"Port Moresby" -"bulk terminal" -"tanker terminal" -"Ro-Ro" -"customs clearance"</t>
        </is>
      </c>
      <c r="F20" s="12" t="n">
        <v>46134</v>
      </c>
      <c r="G20" s="2" t="n">
        <v>100</v>
      </c>
      <c r="H20" s="2" t="inlineStr">
        <is>
          <t>gs01.csv</t>
        </is>
      </c>
      <c r="I20" s="2" t="inlineStr">
        <is>
          <t>max 100</t>
        </is>
      </c>
    </row>
    <row r="21" ht="43.8" customHeight="1" s="21">
      <c r="A21" s="3" t="inlineStr">
        <is>
          <t>GS-2</t>
        </is>
      </c>
      <c r="B21" s="3" t="inlineStr">
        <is>
          <t>Q11 GS: DT+port+sim</t>
        </is>
      </c>
      <c r="C21" s="3" t="inlineStr">
        <is>
          <t>Tier 3</t>
        </is>
      </c>
      <c r="D21" s="3" t="inlineStr">
        <is>
          <t>Google Scholar</t>
        </is>
      </c>
      <c r="E21" s="3" t="inlineStr">
        <is>
          <t>"digital twin" "port operations" simulation management -airport -heliport -patient -clinical -medical -docker -kubernetes -"port Hamiltonian" -"Port Vila" -"Port Moresby" -"bulk terminal" -"tanker terminal" -"Ro-Ro" -"customs clearance"</t>
        </is>
      </c>
      <c r="F21" s="13" t="n">
        <v>46134</v>
      </c>
      <c r="G21" s="3" t="n">
        <v>100</v>
      </c>
      <c r="H21" s="3" t="inlineStr">
        <is>
          <t>gs02.csv</t>
        </is>
      </c>
      <c r="I21" s="3" t="inlineStr">
        <is>
          <t>max 100</t>
        </is>
      </c>
    </row>
    <row r="22" ht="43.8" customHeight="1" s="21">
      <c r="A22" s="2" t="inlineStr">
        <is>
          <t>GS-3</t>
        </is>
      </c>
      <c r="B22" s="2" t="inlineStr">
        <is>
          <t>Q12 GS: DT+seaport</t>
        </is>
      </c>
      <c r="C22" s="2" t="inlineStr">
        <is>
          <t>Tier 3</t>
        </is>
      </c>
      <c r="D22" s="2" t="inlineStr">
        <is>
          <t>Google Scholar</t>
        </is>
      </c>
      <c r="E22" s="2" t="inlineStr">
        <is>
          <t>"digital twin" "seaport" logistics optimization -airport -heliport -patient -clinical -medical -docker -kubernetes -"port Hamiltonian" -"Port Vila" -"Port Moresby" -"bulk terminal" -"tanker terminal" -"Ro-Ro" -"customs clearance"</t>
        </is>
      </c>
      <c r="F22" s="12" t="n">
        <v>46134</v>
      </c>
      <c r="G22" s="2" t="n">
        <v>100</v>
      </c>
      <c r="H22" s="2" t="inlineStr">
        <is>
          <t>gs03.csv</t>
        </is>
      </c>
      <c r="I22" s="2" t="inlineStr">
        <is>
          <t>max 100</t>
        </is>
      </c>
    </row>
    <row r="23" ht="43.8" customHeight="1" s="21">
      <c r="A23" s="3" t="inlineStr">
        <is>
          <t>GS-4</t>
        </is>
      </c>
      <c r="B23" s="3" t="inlineStr">
        <is>
          <t>Q13 GS: digital shadow</t>
        </is>
      </c>
      <c r="C23" s="3" t="inlineStr">
        <is>
          <t>Tier 3</t>
        </is>
      </c>
      <c r="D23" s="3" t="inlineStr">
        <is>
          <t>Google Scholar</t>
        </is>
      </c>
      <c r="E23" s="3" t="inlineStr">
        <is>
          <t>"digital shadow" port terminal simulation -airport -heliport -patient -clinical -medical -docker -kubernetes -"port Hamiltonian" -"Port Vila" -"Port Moresby" -"bulk terminal" -"tanker terminal" -"Ro-Ro" -"customs clearance"</t>
        </is>
      </c>
      <c r="F23" s="13" t="n">
        <v>46134</v>
      </c>
      <c r="G23" s="3" t="n">
        <v>50</v>
      </c>
      <c r="H23" s="3" t="inlineStr">
        <is>
          <t>gs04.csv</t>
        </is>
      </c>
      <c r="I23" s="3" t="inlineStr">
        <is>
          <t>max 50</t>
        </is>
      </c>
    </row>
    <row r="24" ht="43.8" customHeight="1" s="21">
      <c r="A24" s="2" t="inlineStr">
        <is>
          <t>GS-5</t>
        </is>
      </c>
      <c r="B24" s="2" t="inlineStr">
        <is>
          <t>Q14 GS: CPS+port</t>
        </is>
      </c>
      <c r="C24" s="2" t="inlineStr">
        <is>
          <t>Tier 3</t>
        </is>
      </c>
      <c r="D24" s="2" t="inlineStr">
        <is>
          <t>Google Scholar</t>
        </is>
      </c>
      <c r="E24" s="2" t="inlineStr">
        <is>
          <t>"cyber-physical" port maritime operations management -airport -heliport -patient -clinical -medical -docker -kubernetes -"port Hamiltonian" -"Port Vila" -"Port Moresby" -"bulk terminal" -"tanker terminal" -"Ro-Ro" -"customs clearance"</t>
        </is>
      </c>
      <c r="F24" s="12" t="n">
        <v>46134</v>
      </c>
      <c r="G24" s="3" t="n">
        <v>50</v>
      </c>
      <c r="H24" s="2" t="inlineStr">
        <is>
          <t>gs05.csv</t>
        </is>
      </c>
      <c r="I24" s="2" t="inlineStr">
        <is>
          <t>max 50</t>
        </is>
      </c>
    </row>
    <row r="25" ht="43.8" customHeight="1" s="21">
      <c r="A25" s="3" t="inlineStr">
        <is>
          <t>GS-6</t>
        </is>
      </c>
      <c r="B25" s="3" t="inlineStr">
        <is>
          <t>Q15 GS: DT+ACT+AGV</t>
        </is>
      </c>
      <c r="C25" s="3" t="inlineStr">
        <is>
          <t>Tier 3</t>
        </is>
      </c>
      <c r="D25" s="3" t="inlineStr">
        <is>
          <t>Google Scholar</t>
        </is>
      </c>
      <c r="E25" s="3" t="inlineStr">
        <is>
          <t>"digital twin" "automated container terminal" AGV scheduling -airport -heliport -patient -clinical -medical -docker -kubernetes -"port Hamiltonian" -"Port Vila" -"Port Moresby" -"bulk terminal" -"tanker terminal" -"Ro-Ro" -"customs clearance"</t>
        </is>
      </c>
      <c r="F25" s="13" t="n">
        <v>46134</v>
      </c>
      <c r="G25" s="3" t="n">
        <v>50</v>
      </c>
      <c r="H25" s="3" t="inlineStr">
        <is>
          <t>gs06.csv</t>
        </is>
      </c>
      <c r="I25" s="3" t="inlineStr">
        <is>
          <t>max 50</t>
        </is>
      </c>
    </row>
    <row r="26" ht="43.8" customHeight="1" s="21">
      <c r="A26" s="2" t="inlineStr">
        <is>
          <t>GS-7</t>
        </is>
      </c>
      <c r="B26" s="2" t="inlineStr">
        <is>
          <t>Q16 GS: DT+review</t>
        </is>
      </c>
      <c r="C26" s="2" t="inlineStr">
        <is>
          <t>Tier 3</t>
        </is>
      </c>
      <c r="D26" s="2" t="inlineStr">
        <is>
          <t>Google Scholar</t>
        </is>
      </c>
      <c r="E26" s="2" t="inlineStr">
        <is>
          <t>"digital twin" maritime logistics management review -airport -heliport -patient -clinical -medical -docker -kubernetes -"port Hamiltonian" -"Port Vila" -"Port Moresby" -"bulk terminal" -"tanker terminal" -"Ro-Ro" -"customs clearance"</t>
        </is>
      </c>
      <c r="F26" s="12" t="n">
        <v>46134</v>
      </c>
      <c r="G26" s="3" t="n">
        <v>50</v>
      </c>
      <c r="H26" s="2" t="inlineStr">
        <is>
          <t>gs07.csv</t>
        </is>
      </c>
      <c r="I26" s="2" t="inlineStr">
        <is>
          <t>max 50</t>
        </is>
      </c>
    </row>
    <row r="27" ht="43.8" customHeight="1" s="21">
      <c r="A27" s="3" t="inlineStr">
        <is>
          <t>GS-8</t>
        </is>
      </c>
      <c r="B27" s="3" t="inlineStr">
        <is>
          <t>Q17 GS: DT+maritime domain</t>
        </is>
      </c>
      <c r="C27" s="3" t="inlineStr">
        <is>
          <t>Tier 3</t>
        </is>
      </c>
      <c r="D27" s="3" t="inlineStr">
        <is>
          <t>Google Scholar</t>
        </is>
      </c>
      <c r="E27" s="3" t="inlineStr">
        <is>
          <t>"digital twin" maritime domain review trends -airport -heliport -patient -clinical -medical -docker -kubernetes -"port Hamiltonian" -"Port Vila" -"Port Moresby" -"bulk terminal" -"tanker terminal" -"Ro-Ro" -"customs clearance"</t>
        </is>
      </c>
      <c r="F27" s="13" t="n">
        <v>46134</v>
      </c>
      <c r="G27" s="3" t="n">
        <v>50</v>
      </c>
      <c r="H27" s="3" t="inlineStr">
        <is>
          <t>gs08.csv</t>
        </is>
      </c>
      <c r="I27" s="3" t="inlineStr">
        <is>
          <t>max 50</t>
        </is>
      </c>
    </row>
    <row r="28" ht="43.8" customHeight="1" s="21">
      <c r="A28" s="2" t="inlineStr">
        <is>
          <t>GS-9</t>
        </is>
      </c>
      <c r="B28" s="2" t="inlineStr">
        <is>
          <t>Q18 GS: DT+AGV+ACT</t>
        </is>
      </c>
      <c r="C28" s="2" t="inlineStr">
        <is>
          <t>Tier 3</t>
        </is>
      </c>
      <c r="D28" s="2" t="inlineStr">
        <is>
          <t>Google Scholar</t>
        </is>
      </c>
      <c r="E28" s="2" t="inlineStr">
        <is>
          <t>"digital twin" AGV dispatching routing "container terminal" -airport -heliport -patient -clinical -medical -docker -kubernetes -"port Hamiltonian" -"Port Vila" -"Port Moresby" -"bulk terminal" -"tanker terminal" -"Ro-Ro" -"customs clearance"</t>
        </is>
      </c>
      <c r="F28" s="12" t="n">
        <v>46134</v>
      </c>
      <c r="G28" s="3" t="n">
        <v>50</v>
      </c>
      <c r="H28" s="2" t="inlineStr">
        <is>
          <t>gs09.csv</t>
        </is>
      </c>
      <c r="I28" s="2" t="inlineStr">
        <is>
          <t>max 50</t>
        </is>
      </c>
    </row>
    <row r="29" ht="43.8" customHeight="1" s="21">
      <c r="A29" s="3" t="inlineStr">
        <is>
          <t>GS-10</t>
        </is>
      </c>
      <c r="B29" s="3" t="inlineStr">
        <is>
          <t>Q19 GS: smart port I4.0</t>
        </is>
      </c>
      <c r="C29" s="3" t="inlineStr">
        <is>
          <t>Tier 3</t>
        </is>
      </c>
      <c r="D29" s="3" t="inlineStr">
        <is>
          <t>Google Scholar</t>
        </is>
      </c>
      <c r="E29" s="3" t="inlineStr">
        <is>
          <t>"smart port" "industry 4.0" framework architecture -airport -heliport -patient -clinical -medical -docker -kubernetes -"port Hamiltonian" -"Port Vila" -"Port Moresby" -"bulk terminal" -"tanker terminal" -"Ro-Ro" -"customs clearance"</t>
        </is>
      </c>
      <c r="F29" s="13" t="n">
        <v>46134</v>
      </c>
      <c r="G29" s="3" t="n">
        <v>50</v>
      </c>
      <c r="H29" s="3" t="inlineStr">
        <is>
          <t>gs10.csv</t>
        </is>
      </c>
      <c r="I29" s="3" t="inlineStr">
        <is>
          <t>max 50</t>
        </is>
      </c>
    </row>
    <row r="30" ht="43.8" customHeight="1" s="21">
      <c r="A30" s="2" t="inlineStr">
        <is>
          <t>SP-1</t>
        </is>
      </c>
      <c r="B30" s="8" t="inlineStr">
        <is>
          <t>Q20 Springer Link</t>
        </is>
      </c>
      <c r="C30" s="2" t="inlineStr">
        <is>
          <t>Tier 3</t>
        </is>
      </c>
      <c r="D30" s="2" t="inlineStr">
        <is>
          <t>Springer Link</t>
        </is>
      </c>
      <c r="E30" s="8" t="inlineStr">
        <is>
          <t>Springer Link Advanced Search (link.springer.com/advanced-search):
Truy van: "digital twin" AND (port OR terminal OR maritime OR seaport OR container)
Loai noi dung: Article + Chapter (KHONG chon Conference Paper, Reference Work)
Khoang ngay: 2025-04-01 -&gt; 2026-04-25 (12 thang - do tre lap chi muc cua Springer eBook)
Ngon ngu: English
Sap xep: Newest first
Linh vuc (Discipline) — TICH CHON 10 muc (theo dung danh muc Springer Link):
- Engineering
- Computer science
- Business and management
- Science, humanities and social sciences, multidisciplinary
- Environment
- Energy
- Earth sciences
- Economics
- Geography
- Social sciences
Linh vuc (Discipline) — KHONG tich chon 6 muc:
- Materials science
- Chemistry
- Medicine &amp; public health
- Physics
- Life sciences
- Biomedicine
Sau khi tai CSV: chay enrich_publisher_csv_v5.6.py de lam giau tom tat
qua CrossRef -&gt; OpenAlex -&gt; Semantic Scholar va lay URL truy cap mo qua Unpaywall.
Vai tro: tim kiem bo tro (supplementary search) — uu tien do thu hoi
Logic: thac bang bo loc giao dien (loai noi dung + khoang ngay + linh vuc),
       khong that chuoi truy van — papers Online First co tom tat chua hoan thien
Trust pipeline: Scopus dedup + Python pre-screen + Rayyan loc nhieu phia sau</t>
        </is>
      </c>
      <c r="F30" s="12" t="n">
        <v>46138</v>
      </c>
      <c r="G30" s="2" t="n">
        <v>905</v>
      </c>
      <c r="H30" s="8" t="inlineStr">
        <is>
          <t>SPRINGER.ris</t>
        </is>
      </c>
      <c r="I30" s="2" t="inlineStr">
        <is>
          <t>Bo tro, da gioi han thoi gian (12 thang) + Discipline (10 muc); xuat RIS; chay enrich_publisher_csv_v5.6.py de lam giau abstract qua CrossRef/OpenAlex</t>
        </is>
      </c>
    </row>
    <row r="31" ht="43.8" customHeight="1" s="21">
      <c r="A31" s="3" t="inlineStr">
        <is>
          <t>TF-1</t>
        </is>
      </c>
      <c r="B31" s="11" t="inlineStr">
        <is>
          <t>Q21 Taylor &amp; Francis</t>
        </is>
      </c>
      <c r="C31" s="3" t="inlineStr">
        <is>
          <t>Tier 3</t>
        </is>
      </c>
      <c r="D31" s="3" t="inlineStr">
        <is>
          <t>Taylor &amp; Francis</t>
        </is>
      </c>
      <c r="E31" s="11" t="inlineStr">
        <is>
          <t>Taylor &amp; Francis Advanced Search (tandfonline.com):
Truy van: "digital twin" AND (port OR terminal OR maritime OR seaport OR container)
Loai bai: Research Article + Review Article
Khoang ngay: 2025-10-01 -&gt; 2026-04-25 (6 thang - do tre lap chi muc T&amp;F ngan ~1-3 thang)
Ngon ngu: English
Sap xep: Publication date (newest)
Linh vuc (Subject) — TICH CHON:
- Engineering &amp; Technology
- Computer Science
- Built Environment &amp; Architecture (chi Construction Management &amp; Engineering, Civil)
- Geography
- Earth Sciences
- Information Science
- Business, Management &amp; Accounting
- Economics, Finance, Business &amp; Industry
- Transport (dac biet Maritime Transport)
- Environmental Studies (chi tieu muc ve cang/van tai ben vung)
Linh vuc (Subject) — KHONG tich chon:
- Bioscience / Health &amp; Medicine / Pharmaceutical Science
- Behavioural Sciences
- Education
- Humanities (Arts, Literature, Religion, Philosophy, History)
- Languages &amp; Linguistics
- Sports &amp; Leisure
- Tourism, Hospitality, Events &amp; Sport
- Politics &amp; International Relations (tru phan thuong mai hang hai)
- Law (tru phan luat bien)
- Psychology
Vai tro: tim kiem bo tro — bat Online First chua duoc Scopus lap chi muc
Muc tieu cot loi: target journal MPM (Q1) va IJPR (Q1)</t>
        </is>
      </c>
      <c r="F31" s="13" t="n">
        <v>46138</v>
      </c>
      <c r="G31" s="3" t="n">
        <v>928</v>
      </c>
      <c r="H31" s="11" t="inlineStr">
        <is>
          <t>TF.ris (= TF_01..TF_19 paginated)</t>
        </is>
      </c>
      <c r="I31" s="3" t="inlineStr">
        <is>
          <t>Bo tro, khoang thoi gian + linh vuc theo Strategy v5.6 §4.12; muc tieu MPM + IJPR</t>
        </is>
      </c>
    </row>
  </sheetData>
  <autoFilter ref="A1:I31"/>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548235"/>
    <outlinePr summaryBelow="1" summaryRight="1"/>
    <pageSetUpPr/>
  </sheetPr>
  <dimension ref="A1:G38"/>
  <sheetViews>
    <sheetView zoomScaleNormal="100" workbookViewId="0">
      <selection activeCell="A1" sqref="A1"/>
    </sheetView>
  </sheetViews>
  <sheetFormatPr baseColWidth="8" defaultColWidth="8.6640625" defaultRowHeight="14.4"/>
  <cols>
    <col width="18" customWidth="1" style="21" min="1" max="1"/>
    <col width="14" customWidth="1" style="21" min="2" max="4"/>
    <col width="18" customWidth="1" style="21" min="5" max="5"/>
    <col width="14" customWidth="1" style="21" min="6" max="6"/>
    <col width="30" customWidth="1" style="21" min="7" max="7"/>
  </cols>
  <sheetData>
    <row r="1" ht="23.25" customHeight="1" s="21">
      <c r="A1" s="1" t="inlineStr">
        <is>
          <t>Nguồn</t>
        </is>
      </c>
      <c r="B1" s="1" t="inlineStr">
        <is>
          <t>Records thô</t>
        </is>
      </c>
      <c r="C1" s="1" t="inlineStr">
        <is>
          <t>Trùng PRIMARY</t>
        </is>
      </c>
      <c r="D1" s="1" t="inlineStr">
        <is>
          <t>Trùng EXTENDED</t>
        </is>
      </c>
      <c r="E1" s="1" t="inlineStr">
        <is>
          <t>Trùng Targeted khác</t>
        </is>
      </c>
      <c r="F1" s="1" t="inlineStr">
        <is>
          <t>Unique mới</t>
        </is>
      </c>
      <c r="G1" s="1" t="inlineStr">
        <is>
          <t>Ghi chú</t>
        </is>
      </c>
    </row>
    <row r="2" ht="15" customHeight="1" s="21">
      <c r="A2" s="2" t="inlineStr">
        <is>
          <t>P-SCO</t>
        </is>
      </c>
      <c r="B2" s="2" t="n"/>
      <c r="C2" s="2" t="n"/>
      <c r="D2" s="2" t="n"/>
      <c r="E2" s="2" t="n"/>
      <c r="F2" s="2" t="n"/>
      <c r="G2" s="2" t="n"/>
    </row>
    <row r="3" ht="15" customHeight="1" s="21">
      <c r="A3" s="3" t="inlineStr">
        <is>
          <t>P-IEEE</t>
        </is>
      </c>
      <c r="B3" s="3" t="n"/>
      <c r="C3" s="3" t="n"/>
      <c r="D3" s="3" t="n"/>
      <c r="E3" s="3" t="n"/>
      <c r="F3" s="3" t="n"/>
      <c r="G3" s="3" t="n"/>
    </row>
    <row r="4" ht="15" customHeight="1" s="21">
      <c r="A4" s="2" t="inlineStr">
        <is>
          <t>EX-SCO</t>
        </is>
      </c>
      <c r="B4" s="2" t="n"/>
      <c r="C4" s="2" t="n"/>
      <c r="D4" s="2" t="n"/>
      <c r="E4" s="2" t="n"/>
      <c r="F4" s="2" t="n"/>
      <c r="G4" s="2" t="n"/>
    </row>
    <row r="5" ht="15" customHeight="1" s="21">
      <c r="A5" s="3" t="inlineStr">
        <is>
          <t>EX-IEEE</t>
        </is>
      </c>
      <c r="B5" s="3" t="n"/>
      <c r="C5" s="3" t="n"/>
      <c r="D5" s="3" t="n"/>
      <c r="E5" s="3" t="n"/>
      <c r="F5" s="3" t="n"/>
      <c r="G5" s="3" t="n"/>
    </row>
    <row r="6" ht="15" customHeight="1" s="21">
      <c r="A6" s="2" t="inlineStr">
        <is>
          <t>T1-SCO</t>
        </is>
      </c>
      <c r="B6" s="2" t="n"/>
      <c r="C6" s="2" t="n"/>
      <c r="D6" s="2" t="n"/>
      <c r="E6" s="2" t="n"/>
      <c r="F6" s="2" t="n"/>
      <c r="G6" s="2" t="n"/>
    </row>
    <row r="7" ht="15" customHeight="1" s="21">
      <c r="A7" s="3" t="inlineStr">
        <is>
          <t>T1-IEEE</t>
        </is>
      </c>
      <c r="B7" s="3" t="n"/>
      <c r="C7" s="3" t="n"/>
      <c r="D7" s="3" t="n"/>
      <c r="E7" s="3" t="n"/>
      <c r="F7" s="3" t="n"/>
      <c r="G7" s="3" t="n"/>
    </row>
    <row r="8" ht="15" customHeight="1" s="21">
      <c r="A8" s="2" t="inlineStr">
        <is>
          <t>T2-SCO</t>
        </is>
      </c>
      <c r="B8" s="2" t="n"/>
      <c r="C8" s="2" t="n"/>
      <c r="D8" s="2" t="n"/>
      <c r="E8" s="2" t="n"/>
      <c r="F8" s="2" t="n"/>
      <c r="G8" s="2" t="n"/>
    </row>
    <row r="9" ht="15" customHeight="1" s="21">
      <c r="A9" s="3" t="inlineStr">
        <is>
          <t>T2-IEEE</t>
        </is>
      </c>
      <c r="B9" s="3" t="n"/>
      <c r="C9" s="3" t="n"/>
      <c r="D9" s="3" t="n"/>
      <c r="E9" s="3" t="n"/>
      <c r="F9" s="3" t="n"/>
      <c r="G9" s="3" t="n"/>
    </row>
    <row r="10" ht="15" customHeight="1" s="21">
      <c r="A10" s="2" t="inlineStr">
        <is>
          <t>T3-SCO</t>
        </is>
      </c>
      <c r="B10" s="2" t="n"/>
      <c r="C10" s="2" t="n"/>
      <c r="D10" s="2" t="n"/>
      <c r="E10" s="2" t="n"/>
      <c r="F10" s="2" t="n"/>
      <c r="G10" s="2" t="n"/>
    </row>
    <row r="11" ht="15" customHeight="1" s="21">
      <c r="A11" s="3" t="inlineStr">
        <is>
          <t>T3-IEEE</t>
        </is>
      </c>
      <c r="B11" s="3" t="n"/>
      <c r="C11" s="3" t="n"/>
      <c r="D11" s="3" t="n"/>
      <c r="E11" s="3" t="n"/>
      <c r="F11" s="3" t="n"/>
      <c r="G11" s="3" t="n"/>
    </row>
    <row r="12" ht="15" customHeight="1" s="21">
      <c r="A12" s="2" t="inlineStr">
        <is>
          <t>T4-SCO</t>
        </is>
      </c>
      <c r="B12" s="2" t="n"/>
      <c r="C12" s="2" t="n"/>
      <c r="D12" s="2" t="n"/>
      <c r="E12" s="2" t="n"/>
      <c r="F12" s="2" t="n"/>
      <c r="G12" s="2" t="n"/>
    </row>
    <row r="13" ht="15" customHeight="1" s="21">
      <c r="A13" s="3" t="inlineStr">
        <is>
          <t>T4-IEEE</t>
        </is>
      </c>
      <c r="B13" s="3" t="n"/>
      <c r="C13" s="3" t="n"/>
      <c r="D13" s="3" t="n"/>
      <c r="E13" s="3" t="n"/>
      <c r="F13" s="3" t="n"/>
      <c r="G13" s="3" t="n"/>
    </row>
    <row r="14" ht="15" customHeight="1" s="21">
      <c r="A14" s="2" t="inlineStr">
        <is>
          <t>T5-SCO</t>
        </is>
      </c>
      <c r="B14" s="2" t="n"/>
      <c r="C14" s="2" t="n"/>
      <c r="D14" s="2" t="n"/>
      <c r="E14" s="2" t="n"/>
      <c r="F14" s="2" t="n"/>
      <c r="G14" s="2" t="n"/>
    </row>
    <row r="15" ht="15" customHeight="1" s="21">
      <c r="A15" s="3" t="inlineStr">
        <is>
          <t>T5-IEEE</t>
        </is>
      </c>
      <c r="B15" s="3" t="n"/>
      <c r="C15" s="3" t="n"/>
      <c r="D15" s="3" t="n"/>
      <c r="E15" s="3" t="n"/>
      <c r="F15" s="3" t="n"/>
      <c r="G15" s="3" t="n"/>
    </row>
    <row r="16" ht="15" customHeight="1" s="21">
      <c r="A16" s="2" t="inlineStr">
        <is>
          <t>T6-SCO</t>
        </is>
      </c>
      <c r="B16" s="2" t="n"/>
      <c r="C16" s="2" t="n"/>
      <c r="D16" s="2" t="n"/>
      <c r="E16" s="2" t="n"/>
      <c r="F16" s="2" t="n"/>
      <c r="G16" s="2" t="n"/>
    </row>
    <row r="17" ht="15" customHeight="1" s="21">
      <c r="A17" s="3" t="inlineStr">
        <is>
          <t>T6-IEEE</t>
        </is>
      </c>
      <c r="B17" s="3" t="n"/>
      <c r="C17" s="3" t="n"/>
      <c r="D17" s="3" t="n"/>
      <c r="E17" s="3" t="n"/>
      <c r="F17" s="3" t="n"/>
      <c r="G17" s="3" t="n"/>
    </row>
    <row r="18" ht="15" customHeight="1" s="21">
      <c r="A18" s="2" t="inlineStr">
        <is>
          <t>T7-SCO</t>
        </is>
      </c>
      <c r="B18" s="2" t="n"/>
      <c r="C18" s="2" t="n"/>
      <c r="D18" s="2" t="n"/>
      <c r="E18" s="2" t="n"/>
      <c r="F18" s="2" t="n"/>
      <c r="G18" s="2" t="n"/>
    </row>
    <row r="19" ht="15" customHeight="1" s="21">
      <c r="A19" s="3" t="inlineStr">
        <is>
          <t>T7-IEEE</t>
        </is>
      </c>
      <c r="B19" s="3" t="n"/>
      <c r="C19" s="3" t="n"/>
      <c r="D19" s="3" t="n"/>
      <c r="E19" s="3" t="n"/>
      <c r="F19" s="3" t="n"/>
      <c r="G19" s="3" t="n"/>
    </row>
    <row r="20" ht="15" customHeight="1" s="21">
      <c r="A20" s="2" t="inlineStr">
        <is>
          <t>GS-1</t>
        </is>
      </c>
      <c r="B20" s="2" t="n"/>
      <c r="C20" s="2" t="n"/>
      <c r="D20" s="2" t="n"/>
      <c r="E20" s="2" t="n"/>
      <c r="F20" s="2" t="n"/>
      <c r="G20" s="2" t="n"/>
    </row>
    <row r="21" ht="15" customHeight="1" s="21">
      <c r="A21" s="3" t="inlineStr">
        <is>
          <t>GS-2</t>
        </is>
      </c>
      <c r="B21" s="3" t="n"/>
      <c r="C21" s="3" t="n"/>
      <c r="D21" s="3" t="n"/>
      <c r="E21" s="3" t="n"/>
      <c r="F21" s="3" t="n"/>
      <c r="G21" s="3" t="n"/>
    </row>
    <row r="22" ht="15" customHeight="1" s="21">
      <c r="A22" s="2" t="inlineStr">
        <is>
          <t>GS-3</t>
        </is>
      </c>
      <c r="B22" s="2" t="n"/>
      <c r="C22" s="2" t="n"/>
      <c r="D22" s="2" t="n"/>
      <c r="E22" s="2" t="n"/>
      <c r="F22" s="2" t="n"/>
      <c r="G22" s="2" t="n"/>
    </row>
    <row r="23" ht="15" customHeight="1" s="21">
      <c r="A23" s="3" t="inlineStr">
        <is>
          <t>GS-4</t>
        </is>
      </c>
      <c r="B23" s="3" t="n"/>
      <c r="C23" s="3" t="n"/>
      <c r="D23" s="3" t="n"/>
      <c r="E23" s="3" t="n"/>
      <c r="F23" s="3" t="n"/>
      <c r="G23" s="3" t="n"/>
    </row>
    <row r="24" ht="15" customHeight="1" s="21">
      <c r="A24" s="2" t="inlineStr">
        <is>
          <t>GS-5</t>
        </is>
      </c>
      <c r="B24" s="2" t="n"/>
      <c r="C24" s="2" t="n"/>
      <c r="D24" s="2" t="n"/>
      <c r="E24" s="2" t="n"/>
      <c r="F24" s="2" t="n"/>
      <c r="G24" s="2" t="n"/>
    </row>
    <row r="25" ht="15" customHeight="1" s="21">
      <c r="A25" s="3" t="inlineStr">
        <is>
          <t>GS-6</t>
        </is>
      </c>
      <c r="B25" s="3" t="n"/>
      <c r="C25" s="3" t="n"/>
      <c r="D25" s="3" t="n"/>
      <c r="E25" s="3" t="n"/>
      <c r="F25" s="3" t="n"/>
      <c r="G25" s="3" t="n"/>
    </row>
    <row r="26" ht="15" customHeight="1" s="21">
      <c r="A26" s="2" t="inlineStr">
        <is>
          <t>GS-7</t>
        </is>
      </c>
      <c r="B26" s="2" t="n"/>
      <c r="C26" s="2" t="n"/>
      <c r="D26" s="2" t="n"/>
      <c r="E26" s="2" t="n"/>
      <c r="F26" s="2" t="n"/>
      <c r="G26" s="2" t="n"/>
    </row>
    <row r="27" ht="15" customHeight="1" s="21">
      <c r="A27" s="3" t="inlineStr">
        <is>
          <t>GS-8</t>
        </is>
      </c>
      <c r="B27" s="3" t="n"/>
      <c r="C27" s="3" t="n"/>
      <c r="D27" s="3" t="n"/>
      <c r="E27" s="3" t="n"/>
      <c r="F27" s="3" t="n"/>
      <c r="G27" s="3" t="n"/>
    </row>
    <row r="28" ht="15" customHeight="1" s="21">
      <c r="A28" s="2" t="inlineStr">
        <is>
          <t>GS-9</t>
        </is>
      </c>
      <c r="B28" s="2" t="n"/>
      <c r="C28" s="2" t="n"/>
      <c r="D28" s="2" t="n"/>
      <c r="E28" s="2" t="n"/>
      <c r="F28" s="2" t="n"/>
      <c r="G28" s="2" t="n"/>
    </row>
    <row r="29" ht="15" customHeight="1" s="21">
      <c r="A29" s="3" t="inlineStr">
        <is>
          <t>GS-10</t>
        </is>
      </c>
      <c r="B29" s="3" t="n"/>
      <c r="C29" s="3" t="n"/>
      <c r="D29" s="3" t="n"/>
      <c r="E29" s="3" t="n"/>
      <c r="F29" s="3" t="n"/>
      <c r="G29" s="3" t="n"/>
    </row>
    <row r="30" ht="15" customHeight="1" s="21">
      <c r="A30" s="2" t="inlineStr">
        <is>
          <t>SP-1</t>
        </is>
      </c>
      <c r="B30" s="2" t="n">
        <v>905</v>
      </c>
      <c r="C30" s="2" t="n"/>
      <c r="D30" s="2" t="n"/>
      <c r="E30" s="2" t="n"/>
      <c r="F30" s="2" t="n"/>
      <c r="G30" s="2" t="inlineStr">
        <is>
          <t>Springer Link, 12 thang (2025-04-01 -&gt; 2026-04-26), Article+Chapter, 10 Discipline</t>
        </is>
      </c>
    </row>
    <row r="31" ht="15" customHeight="1" s="21">
      <c r="A31" s="3" t="inlineStr">
        <is>
          <t>TF-1</t>
        </is>
      </c>
      <c r="B31" s="3" t="n">
        <v>928</v>
      </c>
      <c r="C31" s="3" t="n"/>
      <c r="D31" s="3" t="n"/>
      <c r="E31" s="3" t="n"/>
      <c r="F31" s="3" t="n"/>
      <c r="G31" s="3" t="inlineStr">
        <is>
          <t>Taylor &amp; Francis, Research+Review (cao hon du kien — kiem tra Subject filter &amp; date range)</t>
        </is>
      </c>
    </row>
    <row r="32" ht="15" customHeight="1" s="21">
      <c r="A32" s="2" t="inlineStr">
        <is>
          <t>SA-1</t>
        </is>
      </c>
      <c r="B32" s="2" t="n"/>
      <c r="C32" s="2" t="n"/>
      <c r="D32" s="2" t="n"/>
      <c r="E32" s="2" t="n"/>
      <c r="F32" s="2" t="n"/>
      <c r="G32" s="2" t="n"/>
    </row>
    <row r="33" ht="15" customHeight="1" s="21">
      <c r="A33" s="3" t="inlineStr">
        <is>
          <t>SA-2</t>
        </is>
      </c>
      <c r="B33" s="3" t="n"/>
      <c r="C33" s="3" t="n"/>
      <c r="D33" s="3" t="n"/>
      <c r="E33" s="3" t="n"/>
      <c r="F33" s="3" t="n"/>
      <c r="G33" s="3" t="n"/>
    </row>
    <row r="34" ht="15" customHeight="1" s="21">
      <c r="A34" s="2" t="inlineStr">
        <is>
          <t>SA-3</t>
        </is>
      </c>
      <c r="B34" s="2" t="n"/>
      <c r="C34" s="2" t="n"/>
      <c r="D34" s="2" t="n"/>
      <c r="E34" s="2" t="n"/>
      <c r="F34" s="2" t="n"/>
      <c r="G34" s="2" t="n"/>
    </row>
    <row r="35" ht="15" customHeight="1" s="21">
      <c r="A35" s="3" t="inlineStr">
        <is>
          <t>Snowball Backward</t>
        </is>
      </c>
      <c r="B35" s="3" t="n"/>
      <c r="C35" s="3" t="n"/>
      <c r="D35" s="3" t="n"/>
      <c r="E35" s="3" t="n"/>
      <c r="F35" s="3" t="n"/>
      <c r="G35" s="3" t="n"/>
    </row>
    <row r="36" ht="15" customHeight="1" s="21">
      <c r="A36" s="2" t="inlineStr">
        <is>
          <t>Snowball Forward</t>
        </is>
      </c>
      <c r="B36" s="2" t="n"/>
      <c r="C36" s="2" t="n"/>
      <c r="D36" s="2" t="n"/>
      <c r="E36" s="2" t="n"/>
      <c r="F36" s="2" t="n"/>
      <c r="G36" s="2" t="n"/>
    </row>
    <row r="37" ht="15" customHeight="1" s="21">
      <c r="A37" s="3" t="inlineStr">
        <is>
          <t>Hand Search</t>
        </is>
      </c>
      <c r="B37" s="3" t="n"/>
      <c r="C37" s="3" t="n"/>
      <c r="D37" s="3" t="n"/>
      <c r="E37" s="3" t="n"/>
      <c r="F37" s="3" t="n"/>
      <c r="G37" s="3" t="n"/>
    </row>
    <row r="38" ht="15" customHeight="1" s="21">
      <c r="A38" s="4" t="inlineStr">
        <is>
          <t>TỔNG CỘNG</t>
        </is>
      </c>
      <c r="B38" s="4">
        <f>SUM(B2:B37)</f>
        <v/>
      </c>
      <c r="C38" s="4">
        <f>SUM(C2:C37)</f>
        <v/>
      </c>
      <c r="D38" s="4">
        <f>SUM(D2:D37)</f>
        <v/>
      </c>
      <c r="E38" s="4">
        <f>SUM(E2:E37)</f>
        <v/>
      </c>
      <c r="F38" s="4">
        <f>SUM(F2:F37)</f>
        <v/>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BF8F00"/>
    <outlinePr summaryBelow="1" summaryRight="1"/>
    <pageSetUpPr/>
  </sheetPr>
  <dimension ref="A1:N2"/>
  <sheetViews>
    <sheetView zoomScaleNormal="100" workbookViewId="0">
      <selection activeCell="A1" sqref="A1"/>
    </sheetView>
  </sheetViews>
  <sheetFormatPr baseColWidth="8" defaultColWidth="8.6640625" defaultRowHeight="14.4"/>
  <cols>
    <col width="5" customWidth="1" style="21" min="1" max="1"/>
    <col width="22" customWidth="1" style="21" min="2" max="2"/>
    <col width="20" customWidth="1" style="21" min="3" max="3"/>
    <col width="6" customWidth="1" style="21" min="4" max="4"/>
    <col width="50" customWidth="1" style="21" min="5" max="5"/>
    <col width="28" customWidth="1" style="21" min="6" max="6"/>
    <col width="10" customWidth="1" style="21" min="7" max="7"/>
    <col width="12" customWidth="1" style="21" min="8" max="8"/>
    <col width="20" customWidth="1" style="21" min="9" max="9"/>
    <col width="12" customWidth="1" style="21" min="10" max="10"/>
    <col width="20" customWidth="1" style="21" min="11" max="11"/>
    <col width="12" customWidth="1" style="21" min="12" max="12"/>
    <col width="14" customWidth="1" style="21" min="13" max="13"/>
    <col width="12" customWidth="1" style="21" min="14" max="14"/>
  </cols>
  <sheetData>
    <row r="1" ht="23.25" customHeight="1" s="21">
      <c r="A1" s="1" t="inlineStr">
        <is>
          <t>#</t>
        </is>
      </c>
      <c r="B1" s="1" t="inlineStr">
        <is>
          <t>DOI / ID</t>
        </is>
      </c>
      <c r="C1" s="1" t="inlineStr">
        <is>
          <t>Authors</t>
        </is>
      </c>
      <c r="D1" s="1" t="inlineStr">
        <is>
          <t>Year</t>
        </is>
      </c>
      <c r="E1" s="1" t="inlineStr">
        <is>
          <t>Title</t>
        </is>
      </c>
      <c r="F1" s="1" t="inlineStr">
        <is>
          <t>Journal/Venue</t>
        </is>
      </c>
      <c r="G1" s="1" t="inlineStr">
        <is>
          <t>Source Query</t>
        </is>
      </c>
      <c r="H1" s="1" t="inlineStr">
        <is>
          <t>Screen1 (T/A)</t>
        </is>
      </c>
      <c r="I1" s="1" t="inlineStr">
        <is>
          <t>S1 Reason</t>
        </is>
      </c>
      <c r="J1" s="1" t="inlineStr">
        <is>
          <t>Screen2 (Full)</t>
        </is>
      </c>
      <c r="K1" s="1" t="inlineStr">
        <is>
          <t>S2 Reason</t>
        </is>
      </c>
      <c r="L1" s="1" t="inlineStr">
        <is>
          <t>Maturity Level</t>
        </is>
      </c>
      <c r="M1" s="1" t="inlineStr">
        <is>
          <t>Method Category</t>
        </is>
      </c>
      <c r="N1" s="1" t="inlineStr">
        <is>
          <t>FINAL</t>
        </is>
      </c>
    </row>
    <row r="2" ht="15" customHeight="1" s="21">
      <c r="A2" s="5" t="n"/>
      <c r="B2" s="5" t="n"/>
      <c r="C2" s="5" t="n"/>
      <c r="D2" s="5" t="n"/>
      <c r="E2" s="5" t="n"/>
      <c r="F2" s="5" t="n"/>
      <c r="G2" s="5" t="inlineStr">
        <is>
          <t>P/EX/T1-T5/GS/SN</t>
        </is>
      </c>
      <c r="H2" s="5" t="inlineStr">
        <is>
          <t>Include/Exclude/Maybe</t>
        </is>
      </c>
      <c r="I2" s="5" t="inlineStr">
        <is>
          <t>EC1-EC8 nếu Exclude</t>
        </is>
      </c>
      <c r="J2" s="5" t="inlineStr">
        <is>
          <t>Include/Exclude</t>
        </is>
      </c>
      <c r="K2" s="5" t="inlineStr">
        <is>
          <t>Reason</t>
        </is>
      </c>
      <c r="L2" s="5" t="inlineStr">
        <is>
          <t>L1/L2/L3/L4/L5/Cross</t>
        </is>
      </c>
      <c r="M2" s="5" t="inlineStr">
        <is>
          <t>Optim/Sim/Impl/ML/FW</t>
        </is>
      </c>
      <c r="N2" s="5" t="inlineStr">
        <is>
          <t>INCLUDED/EXCLUDED</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C00000"/>
    <outlinePr summaryBelow="1" summaryRight="1"/>
    <pageSetUpPr/>
  </sheetPr>
  <dimension ref="A1:E34"/>
  <sheetViews>
    <sheetView zoomScaleNormal="100" workbookViewId="0">
      <selection activeCell="A1" sqref="A1"/>
    </sheetView>
  </sheetViews>
  <sheetFormatPr baseColWidth="8" defaultColWidth="8.6640625" defaultRowHeight="14.4"/>
  <cols>
    <col width="32" customWidth="1" style="21" min="1" max="1"/>
    <col width="52" customWidth="1" style="21" min="2" max="2"/>
    <col width="28" customWidth="1" style="21" min="3" max="3"/>
    <col width="14" customWidth="1" style="21" min="4" max="4"/>
    <col width="22" customWidth="1" style="21" min="5" max="5"/>
  </cols>
  <sheetData>
    <row r="1" ht="15" customHeight="1" s="21">
      <c r="A1" s="23" t="inlineStr">
        <is>
          <t>MUST-HAVE PAPERS — Nếu thiếu bất kỳ paper nào → search strategy cần bổ sung</t>
        </is>
      </c>
    </row>
    <row r="2"/>
    <row r="3" ht="15" customHeight="1" s="21">
      <c r="A3" s="1" t="inlineStr">
        <is>
          <t>#</t>
        </is>
      </c>
      <c r="B3" s="1" t="inlineStr">
        <is>
          <t>Paper</t>
        </is>
      </c>
      <c r="C3" s="1" t="inlineStr">
        <is>
          <t>Tại sao bắt buộc</t>
        </is>
      </c>
      <c r="D3" s="1" t="inlineStr">
        <is>
          <t>Có trong pool?</t>
        </is>
      </c>
      <c r="E3" s="1" t="inlineStr">
        <is>
          <t>Bắt bởi query nào?</t>
        </is>
      </c>
    </row>
    <row r="4" ht="23.25" customHeight="1" s="21">
      <c r="A4" s="2" t="inlineStr">
        <is>
          <t>1</t>
        </is>
      </c>
      <c r="B4" s="2" t="inlineStr">
        <is>
          <t>Neugebauer, Heilig &amp; Voß (2024) — FSMJ</t>
        </is>
      </c>
      <c r="C4" s="2" t="inlineStr">
        <is>
          <t>Benchmark paper — DT+seaport review toàn diện nhất</t>
        </is>
      </c>
      <c r="D4" s="2" t="n"/>
      <c r="E4" s="2" t="n"/>
    </row>
    <row r="5" ht="23.25" customHeight="1" s="21">
      <c r="A5" s="3" t="inlineStr">
        <is>
          <t>2</t>
        </is>
      </c>
      <c r="B5" s="3" t="inlineStr">
        <is>
          <t>Gao et al. (2022) — Adv Eng Informatics</t>
        </is>
      </c>
      <c r="C5" s="3" t="inlineStr">
        <is>
          <t>DT automated storage yard scheduling</t>
        </is>
      </c>
      <c r="D5" s="3" t="n"/>
      <c r="E5" s="3" t="n"/>
    </row>
    <row r="6" ht="23.25" customHeight="1" s="21">
      <c r="A6" s="2" t="inlineStr">
        <is>
          <t>3</t>
        </is>
      </c>
      <c r="B6" s="2" t="inlineStr">
        <is>
          <t>Zhou et al. (2021) — Decision Support Systems</t>
        </is>
      </c>
      <c r="C6" s="2" t="inlineStr">
        <is>
          <t>Digital-twinning + port resilience + OCBA</t>
        </is>
      </c>
      <c r="D6" s="2" t="n"/>
      <c r="E6" s="2" t="n"/>
    </row>
    <row r="7" ht="23.25" customHeight="1" s="21">
      <c r="A7" s="3" t="inlineStr">
        <is>
          <t>4</t>
        </is>
      </c>
      <c r="B7" s="3" t="inlineStr">
        <is>
          <t>Li et al. (2021) — J Advanced Transportation</t>
        </is>
      </c>
      <c r="C7" s="3" t="inlineStr">
        <is>
          <t>AdaBoost DT framework ACT operations</t>
        </is>
      </c>
      <c r="D7" s="3" t="n"/>
      <c r="E7" s="3" t="n"/>
    </row>
    <row r="8" ht="23.25" customHeight="1" s="21">
      <c r="A8" s="2" t="inlineStr">
        <is>
          <t>5</t>
        </is>
      </c>
      <c r="B8" s="2" t="inlineStr">
        <is>
          <t>Szpytko &amp; Duarte (2019/2021) — IFAC/J Intell Manuf</t>
        </is>
      </c>
      <c r="C8" s="2" t="inlineStr">
        <is>
          <t>DT crane maintenance container terminal</t>
        </is>
      </c>
      <c r="D8" s="2" t="n"/>
      <c r="E8" s="2" t="n"/>
    </row>
    <row r="9" ht="23.25" customHeight="1" s="21">
      <c r="A9" s="3" t="inlineStr">
        <is>
          <t>6</t>
        </is>
      </c>
      <c r="B9" s="3" t="inlineStr">
        <is>
          <t>Hofmann &amp; Branding (2019) — IFAC</t>
        </is>
      </c>
      <c r="C9" s="3" t="inlineStr">
        <is>
          <t>IoT + cloud DT real-time port operations</t>
        </is>
      </c>
      <c r="D9" s="3" t="n"/>
      <c r="E9" s="3" t="n"/>
    </row>
    <row r="10" ht="23.25" customHeight="1" s="21">
      <c r="A10" s="2" t="inlineStr">
        <is>
          <t>7</t>
        </is>
      </c>
      <c r="B10" s="2" t="inlineStr">
        <is>
          <t>Wang et al. (2021) — Case Studies Transport Policy</t>
        </is>
      </c>
      <c r="C10" s="2" t="inlineStr">
        <is>
          <t>Multi-aspect DT smart ports framework</t>
        </is>
      </c>
      <c r="D10" s="2" t="n"/>
      <c r="E10" s="2" t="n"/>
    </row>
    <row r="11" ht="15" customHeight="1" s="21">
      <c r="A11" s="3" t="inlineStr">
        <is>
          <t>8</t>
        </is>
      </c>
      <c r="B11" s="3" t="inlineStr">
        <is>
          <t>Belmoukari et al. (2024) — WMU J Maritime Affairs</t>
        </is>
      </c>
      <c r="C11" s="3" t="inlineStr">
        <is>
          <t>DT sustainability seaports review</t>
        </is>
      </c>
      <c r="D11" s="3" t="n"/>
      <c r="E11" s="3" t="n"/>
    </row>
    <row r="12" ht="23.25" customHeight="1" s="21">
      <c r="A12" s="2" t="inlineStr">
        <is>
          <t>9</t>
        </is>
      </c>
      <c r="B12" s="2" t="inlineStr">
        <is>
          <t>Mansoursamaei et al. (2025) — FSMJ</t>
        </is>
      </c>
      <c r="C12" s="2" t="inlineStr">
        <is>
          <t>RL + container terminal systematic review</t>
        </is>
      </c>
      <c r="D12" s="2" t="n"/>
      <c r="E12" s="2" t="n"/>
    </row>
    <row r="13" ht="23.25" customHeight="1" s="21">
      <c r="A13" s="3" t="inlineStr">
        <is>
          <t>10</t>
        </is>
      </c>
      <c r="B13" s="3" t="inlineStr">
        <is>
          <t>Bierwirth &amp; Meisel (2015) — EJOR</t>
        </is>
      </c>
      <c r="C13" s="3" t="inlineStr">
        <is>
          <t>Foundational berth+QC scheduling survey</t>
        </is>
      </c>
      <c r="D13" s="3" t="n"/>
      <c r="E13" s="3" t="n"/>
    </row>
    <row r="14" ht="23.25" customHeight="1" s="21">
      <c r="A14" s="2" t="inlineStr">
        <is>
          <t>11</t>
        </is>
      </c>
      <c r="B14" s="2" t="inlineStr">
        <is>
          <t>Zhou et al. (2018) — Winter Simulation Conference</t>
        </is>
      </c>
      <c r="C14" s="2" t="inlineStr">
        <is>
          <t>Simulation-optimization integration maritime</t>
        </is>
      </c>
      <c r="D14" s="2" t="n"/>
      <c r="E14" s="2" t="n"/>
    </row>
    <row r="15" ht="23.25" customHeight="1" s="21">
      <c r="A15" s="3" t="inlineStr">
        <is>
          <t>12</t>
        </is>
      </c>
      <c r="B15" s="3" t="inlineStr">
        <is>
          <t>Agostinelli et al. (2022) — Energies</t>
        </is>
      </c>
      <c r="C15" s="3" t="inlineStr">
        <is>
          <t>DT renewable energy port operations</t>
        </is>
      </c>
      <c r="D15" s="3" t="n"/>
      <c r="E15" s="3" t="n"/>
    </row>
    <row r="16"/>
    <row r="17"/>
    <row r="18" ht="15" customHeight="1" s="21">
      <c r="A18" s="24" t="inlineStr">
        <is>
          <t>MATURITY COVERAGE CHECK — Mỗi tầng cần đủ papers</t>
        </is>
      </c>
    </row>
    <row r="19" ht="15" customHeight="1" s="21">
      <c r="A19" s="1" t="inlineStr">
        <is>
          <t>Maturity Level</t>
        </is>
      </c>
      <c r="B19" s="1" t="inlineStr">
        <is>
          <t>Target tối thiểu</t>
        </is>
      </c>
      <c r="C19" s="1" t="inlineStr">
        <is>
          <t>Actual count</t>
        </is>
      </c>
      <c r="D19" s="1" t="inlineStr">
        <is>
          <t>Đạt?</t>
        </is>
      </c>
      <c r="E19" s="1" t="inlineStr">
        <is>
          <t>Query source chính</t>
        </is>
      </c>
    </row>
    <row r="20" ht="23.25" customHeight="1" s="21">
      <c r="A20" s="2" t="inlineStr">
        <is>
          <t>L1 — Data Visibility</t>
        </is>
      </c>
      <c r="B20" s="2" t="inlineStr">
        <is>
          <t>≥ 10</t>
        </is>
      </c>
      <c r="C20" s="2" t="n"/>
      <c r="D20" s="2" t="n"/>
      <c r="E20" s="2" t="inlineStr">
        <is>
          <t>T1 + T7 + PRIMARY + EXTENDED</t>
        </is>
      </c>
    </row>
    <row r="21" ht="15" customHeight="1" s="21">
      <c r="A21" s="3" t="inlineStr">
        <is>
          <t>L2 — Operational State</t>
        </is>
      </c>
      <c r="B21" s="3" t="inlineStr">
        <is>
          <t>≥ 8</t>
        </is>
      </c>
      <c r="C21" s="3" t="n"/>
      <c r="D21" s="3" t="n"/>
      <c r="E21" s="3" t="inlineStr">
        <is>
          <t>T2 + PRIMARY + EXTENDED</t>
        </is>
      </c>
    </row>
    <row r="22" ht="23.25" customHeight="1" s="21">
      <c r="A22" s="2" t="inlineStr">
        <is>
          <t>L3 — Decision Support</t>
        </is>
      </c>
      <c r="B22" s="2" t="inlineStr">
        <is>
          <t>≥ 15</t>
        </is>
      </c>
      <c r="C22" s="2" t="n"/>
      <c r="D22" s="2" t="n"/>
      <c r="E22" s="2" t="inlineStr">
        <is>
          <t>T3 + PRIMARY + EXTENDED</t>
        </is>
      </c>
    </row>
    <row r="23" ht="23.25" customHeight="1" s="21">
      <c r="A23" s="3" t="inlineStr">
        <is>
          <t>L4 — Simulation &amp; V&amp;V</t>
        </is>
      </c>
      <c r="B23" s="3" t="inlineStr">
        <is>
          <t>≥ 10</t>
        </is>
      </c>
      <c r="C23" s="3" t="n"/>
      <c r="D23" s="3" t="n"/>
      <c r="E23" s="3" t="inlineStr">
        <is>
          <t>T4 + T6 + PRIMARY + EXTENDED</t>
        </is>
      </c>
    </row>
    <row r="24" ht="15" customHeight="1" s="21">
      <c r="A24" s="2" t="inlineStr">
        <is>
          <t>L5 — Closed-Loop</t>
        </is>
      </c>
      <c r="B24" s="2" t="inlineStr">
        <is>
          <t>≥ 3 (gap!)</t>
        </is>
      </c>
      <c r="C24" s="2" t="n"/>
      <c r="D24" s="2" t="n"/>
      <c r="E24" s="2" t="inlineStr">
        <is>
          <t>PRIMARY + EXTENDED</t>
        </is>
      </c>
    </row>
    <row r="25" ht="15" customHeight="1" s="21">
      <c r="A25" s="3" t="inlineStr">
        <is>
          <t>Cross-level / Framework</t>
        </is>
      </c>
      <c r="B25" s="3" t="inlineStr">
        <is>
          <t>≥ 5</t>
        </is>
      </c>
      <c r="C25" s="3" t="n"/>
      <c r="D25" s="3" t="n"/>
      <c r="E25" s="3" t="inlineStr">
        <is>
          <t>PRIMARY + Snowball</t>
        </is>
      </c>
    </row>
    <row r="26"/>
    <row r="27"/>
    <row r="28" ht="15" customHeight="1" s="21">
      <c r="A28" s="24" t="inlineStr">
        <is>
          <t>DISSERTATION COVERAGE CHECK — SR phải đặt nền cho từng bài</t>
        </is>
      </c>
    </row>
    <row r="29" ht="15" customHeight="1" s="21">
      <c r="A29" s="1" t="inlineStr">
        <is>
          <t>Bài báo</t>
        </is>
      </c>
      <c r="B29" s="1" t="inlineStr">
        <is>
          <t>Chủ đề cần bắt</t>
        </is>
      </c>
      <c r="C29" s="1" t="inlineStr">
        <is>
          <t>Query source</t>
        </is>
      </c>
      <c r="D29" s="1" t="inlineStr">
        <is>
          <t>Papers found</t>
        </is>
      </c>
      <c r="E29" s="1" t="inlineStr">
        <is>
          <t>Đủ?</t>
        </is>
      </c>
    </row>
    <row r="30" ht="15" customHeight="1" s="21">
      <c r="A30" s="2" t="inlineStr">
        <is>
          <t>Paper 1 (Data/Ontology/State)</t>
        </is>
      </c>
      <c r="B30" s="2" t="inlineStr">
        <is>
          <t>Data integration, ontology, quality, state modeling</t>
        </is>
      </c>
      <c r="C30" s="2" t="inlineStr">
        <is>
          <t>T2 + PRIMARY</t>
        </is>
      </c>
      <c r="D30" s="2" t="n"/>
      <c r="E30" s="2" t="n"/>
    </row>
    <row r="31" ht="15" customHeight="1" s="21">
      <c r="A31" s="3" t="inlineStr">
        <is>
          <t>Paper 2 (MILP-RL Optimization)</t>
        </is>
      </c>
      <c r="B31" s="3" t="inlineStr">
        <is>
          <t>Berth, QC, yard optim, RL, hybrid, rolling horizon</t>
        </is>
      </c>
      <c r="C31" s="3" t="inlineStr">
        <is>
          <t>T3 + PRIMARY + EXTENDED</t>
        </is>
      </c>
      <c r="D31" s="3" t="n"/>
      <c r="E31" s="3" t="n"/>
    </row>
    <row r="32" ht="15" customHeight="1" s="21">
      <c r="A32" s="2" t="inlineStr">
        <is>
          <t>Paper 3 (DES + V&amp;V)</t>
        </is>
      </c>
      <c r="B32" s="2" t="inlineStr">
        <is>
          <t>Simulation tools, V&amp;V framework, calibration, 4D</t>
        </is>
      </c>
      <c r="C32" s="2" t="inlineStr">
        <is>
          <t>T4 + T6 + PRIMARY + EXTENDED</t>
        </is>
      </c>
      <c r="D32" s="2" t="n"/>
      <c r="E32" s="2" t="n"/>
    </row>
    <row r="33" ht="15" customHeight="1" s="21">
      <c r="A33" s="3" t="inlineStr">
        <is>
          <t>Backup B (Readiness/Delphi-AHP)</t>
        </is>
      </c>
      <c r="B33" s="3" t="inlineStr">
        <is>
          <t>Maturity assessment, readiness, Delphi, AHP</t>
        </is>
      </c>
      <c r="C33" s="3" t="inlineStr">
        <is>
          <t>T5 + PRIMARY + Snowball</t>
        </is>
      </c>
      <c r="D33" s="3" t="n"/>
      <c r="E33" s="3" t="n"/>
    </row>
    <row r="34" ht="15" customHeight="1" s="21">
      <c r="A34" s="2" t="inlineStr">
        <is>
          <t>Backup C (GIS/AIS)</t>
        </is>
      </c>
      <c r="B34" s="2" t="inlineStr">
        <is>
          <t>Smart port, GIS, AIS, spatial analysis, open data</t>
        </is>
      </c>
      <c r="C34" s="2" t="inlineStr">
        <is>
          <t>T6 + T1 + PRIMARY</t>
        </is>
      </c>
      <c r="D34" s="2" t="n"/>
      <c r="E34" s="2" t="n"/>
    </row>
  </sheetData>
  <mergeCells count="3">
    <mergeCell ref="A1:E1"/>
    <mergeCell ref="A28:E28"/>
    <mergeCell ref="A18:E18"/>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7030A0"/>
    <outlinePr summaryBelow="1" summaryRight="1"/>
    <pageSetUpPr/>
  </sheetPr>
  <dimension ref="A1:C47"/>
  <sheetViews>
    <sheetView zoomScaleNormal="100" workbookViewId="0">
      <selection activeCell="A1" sqref="A1"/>
    </sheetView>
  </sheetViews>
  <sheetFormatPr baseColWidth="8" defaultColWidth="8.6640625" defaultRowHeight="14.4"/>
  <cols>
    <col width="44" customWidth="1" style="21" min="1" max="2"/>
    <col width="18" customWidth="1" style="21" min="3" max="3"/>
  </cols>
  <sheetData>
    <row r="1" ht="17.25" customHeight="1" s="21">
      <c r="A1" s="22" t="inlineStr">
        <is>
          <t>PRISMA 2020 FLOW DIAGRAM — SỐ LIỆU v5.4</t>
        </is>
      </c>
    </row>
    <row r="2" ht="15" customHeight="1" s="21">
      <c r="A2" s="25" t="inlineStr">
        <is>
          <t>Điền số liệu chính xác. Các dòng SUM phải khớp. Sai 1 record = fabrication (QC1).</t>
        </is>
      </c>
    </row>
    <row r="3" ht="15" customHeight="1" s="21">
      <c r="A3" s="6" t="n"/>
      <c r="B3" s="6" t="n"/>
      <c r="C3" s="6" t="n"/>
    </row>
    <row r="4" ht="15" customHeight="1" s="21">
      <c r="A4" s="1" t="inlineStr">
        <is>
          <t>Mục</t>
        </is>
      </c>
      <c r="B4" s="1" t="inlineStr">
        <is>
          <t>Chi tiết</t>
        </is>
      </c>
      <c r="C4" s="1" t="inlineStr">
        <is>
          <t>Số liệu</t>
        </is>
      </c>
    </row>
    <row r="5" ht="15" customHeight="1" s="21">
      <c r="A5" s="7" t="inlineStr">
        <is>
          <t>IDENTIFICATION</t>
        </is>
      </c>
      <c r="B5" s="7" t="n"/>
      <c r="C5" s="7" t="n"/>
    </row>
    <row r="6" ht="15" customHeight="1" s="21">
      <c r="A6" s="6" t="inlineStr">
        <is>
          <t>Records from Scopus</t>
        </is>
      </c>
      <c r="B6" s="6" t="inlineStr">
        <is>
          <t>PRIMARY + EXTENDED + T1 + T2 + T3 + T4 + T5</t>
        </is>
      </c>
      <c r="C6" s="6" t="n"/>
    </row>
    <row r="7" ht="15" customHeight="1" s="21">
      <c r="A7" s="6" t="inlineStr">
        <is>
          <t>Records from IEEE Xplore</t>
        </is>
      </c>
      <c r="B7" s="6" t="inlineStr">
        <is>
          <t>PRIMARY + EXTENDED + T1–T7</t>
        </is>
      </c>
      <c r="C7" s="6" t="n"/>
    </row>
    <row r="8" ht="15" customHeight="1" s="21">
      <c r="A8" s="6" t="inlineStr">
        <is>
          <t>Records from Google Scholar</t>
        </is>
      </c>
      <c r="B8" s="6" t="inlineStr">
        <is>
          <t>PRIMARY + EXTENDED + T1–T7</t>
        </is>
      </c>
      <c r="C8" s="6" t="n"/>
    </row>
    <row r="9" ht="15" customHeight="1" s="21">
      <c r="A9" s="6" t="inlineStr">
        <is>
          <t>Records from Google Scholar</t>
        </is>
      </c>
      <c r="B9" s="6" t="inlineStr">
        <is>
          <t>GS-1 → GS-10 (10 sub-queries)</t>
        </is>
      </c>
      <c r="C9" s="6" t="n"/>
    </row>
    <row r="10" ht="15" customHeight="1" s="21">
      <c r="A10" s="6" t="inlineStr">
        <is>
          <t>Records from Springer Link</t>
        </is>
      </c>
      <c r="B10" s="6" t="inlineStr">
        <is>
          <t>SP-1 (2024–2026 only)</t>
        </is>
      </c>
      <c r="C10" s="6" t="n">
        <v>905</v>
      </c>
    </row>
    <row r="11" ht="15" customHeight="1" s="21">
      <c r="A11" s="6" t="inlineStr">
        <is>
          <t>Records from Taylor &amp; Francis</t>
        </is>
      </c>
      <c r="B11" s="6" t="inlineStr">
        <is>
          <t>TF-1 (2024–2026 only)</t>
        </is>
      </c>
      <c r="C11" s="6" t="n">
        <v>928</v>
      </c>
    </row>
    <row r="12" ht="15" customHeight="1" s="21">
      <c r="A12" s="6" t="inlineStr">
        <is>
          <t>Records from snowballing</t>
        </is>
      </c>
      <c r="B12" s="6" t="inlineStr">
        <is>
          <t>9 seeds: Backward + Forward</t>
        </is>
      </c>
      <c r="C12" s="6" t="n"/>
    </row>
    <row r="13" ht="15" customHeight="1" s="21">
      <c r="A13" s="7" t="inlineStr">
        <is>
          <t>Records from sensitivity</t>
        </is>
      </c>
      <c r="B13" s="7" t="inlineStr">
        <is>
          <t>SA-1 + SA-2 + SA-3</t>
        </is>
      </c>
      <c r="C13" s="7" t="n"/>
    </row>
    <row r="14" ht="15" customHeight="1" s="21">
      <c r="A14" s="6" t="inlineStr">
        <is>
          <t>Records from hand search</t>
        </is>
      </c>
      <c r="B14" s="6" t="inlineStr">
        <is>
          <t>10 key journals (2024–2026)</t>
        </is>
      </c>
      <c r="C14" s="6">
        <f>C10-C11</f>
        <v/>
      </c>
    </row>
    <row r="15" ht="15" customHeight="1" s="21">
      <c r="A15" s="6" t="inlineStr">
        <is>
          <t>Records excluded at T/A</t>
        </is>
      </c>
      <c r="B15" s="6" t="n"/>
      <c r="C15" s="6" t="n"/>
    </row>
    <row r="16" ht="15" customHeight="1" s="21">
      <c r="A16" s="6" t="inlineStr">
        <is>
          <t xml:space="preserve">  - EC1 Ship DT not port</t>
        </is>
      </c>
      <c r="B16" s="6" t="n"/>
      <c r="C16" s="6" t="n"/>
    </row>
    <row r="17" ht="15" customHeight="1" s="21">
      <c r="A17" s="6" t="inlineStr">
        <is>
          <t xml:space="preserve">  - EC2 Bulk/tanker not container</t>
        </is>
      </c>
      <c r="B17" s="6" t="n"/>
      <c r="C17" s="6" t="n"/>
    </row>
    <row r="18" ht="15" customHeight="1" s="21">
      <c r="A18" s="6" t="inlineStr">
        <is>
          <t xml:space="preserve">  - EC3 Not research article</t>
        </is>
      </c>
      <c r="B18" s="6" t="n"/>
      <c r="C18" s="6" t="n"/>
    </row>
    <row r="19" ht="15" customHeight="1" s="21">
      <c r="A19" s="6" t="inlineStr">
        <is>
          <t xml:space="preserve">  - EC4 DT buzzword only</t>
        </is>
      </c>
      <c r="B19" s="6" t="n"/>
      <c r="C19" s="6" t="n"/>
    </row>
    <row r="20" ht="15" customHeight="1" s="21">
      <c r="A20" s="6" t="inlineStr">
        <is>
          <t xml:space="preserve">  - EC5 Duplicate content</t>
        </is>
      </c>
      <c r="B20" s="6" t="n"/>
      <c r="C20" s="6" t="n"/>
    </row>
    <row r="21" ht="15" customHeight="1" s="21">
      <c r="A21" s="6" t="inlineStr">
        <is>
          <t xml:space="preserve">  - EC7 Wrong domain (manufacturing etc)</t>
        </is>
      </c>
      <c r="B21" s="6" t="n"/>
      <c r="C21" s="6" t="n"/>
    </row>
    <row r="22" ht="15" customHeight="1" s="21">
      <c r="A22" s="6" t="inlineStr">
        <is>
          <t xml:space="preserve">  - EC8 CPS no port context</t>
        </is>
      </c>
      <c r="B22" s="6" t="n"/>
      <c r="C22" s="6" t="n"/>
    </row>
    <row r="23" ht="15" customHeight="1" s="21">
      <c r="A23" s="6" t="inlineStr">
        <is>
          <t xml:space="preserve">  - Other</t>
        </is>
      </c>
      <c r="B23" s="6" t="n"/>
      <c r="C23" s="6" t="n"/>
    </row>
    <row r="24" ht="15" customHeight="1" s="21">
      <c r="A24" s="6" t="n"/>
      <c r="B24" s="6" t="n"/>
      <c r="C24" s="6" t="n"/>
    </row>
    <row r="25" ht="15" customHeight="1" s="21">
      <c r="A25" s="7" t="inlineStr">
        <is>
          <t>ELIGIBILITY</t>
        </is>
      </c>
      <c r="B25" s="7" t="n"/>
      <c r="C25" s="7" t="n"/>
    </row>
    <row r="26" ht="15" customHeight="1" s="21">
      <c r="A26" s="6" t="inlineStr">
        <is>
          <t>Full-text articles sought</t>
        </is>
      </c>
      <c r="B26" s="6" t="n"/>
      <c r="C26" s="6">
        <f>C14-C15</f>
        <v/>
      </c>
    </row>
    <row r="27" ht="15" customHeight="1" s="21">
      <c r="A27" s="6" t="inlineStr">
        <is>
          <t>Full-text not retrieved (EC6)</t>
        </is>
      </c>
      <c r="B27" s="6" t="n"/>
      <c r="C27" s="6" t="n"/>
    </row>
    <row r="28" ht="15" customHeight="1" s="21">
      <c r="A28" s="6" t="inlineStr">
        <is>
          <t>Full-text assessed</t>
        </is>
      </c>
      <c r="B28" s="6" t="n"/>
      <c r="C28" s="6">
        <f>C26-C27</f>
        <v/>
      </c>
    </row>
    <row r="29" ht="15" customHeight="1" s="21">
      <c r="A29" s="6" t="inlineStr">
        <is>
          <t>Full-text excluded</t>
        </is>
      </c>
      <c r="B29" s="6" t="n"/>
      <c r="C29" s="6" t="n"/>
    </row>
    <row r="30" ht="15" customHeight="1" s="21">
      <c r="A30" s="6" t="inlineStr">
        <is>
          <t xml:space="preserve">  - Not substantive DT content</t>
        </is>
      </c>
      <c r="B30" s="6" t="n"/>
      <c r="C30" s="6" t="n"/>
    </row>
    <row r="31" ht="15" customHeight="1" s="21">
      <c r="A31" s="6" t="inlineStr">
        <is>
          <t xml:space="preserve">  - Out of scope upon full reading</t>
        </is>
      </c>
      <c r="B31" s="6" t="n"/>
      <c r="C31" s="6" t="n"/>
    </row>
    <row r="32" ht="15" customHeight="1" s="21">
      <c r="A32" s="6" t="inlineStr">
        <is>
          <t xml:space="preserve">  - Other</t>
        </is>
      </c>
      <c r="B32" s="6" t="n"/>
      <c r="C32" s="6" t="n"/>
    </row>
    <row r="33" ht="15" customHeight="1" s="21">
      <c r="A33" s="6" t="n"/>
      <c r="B33" s="6" t="n"/>
      <c r="C33" s="6" t="n"/>
    </row>
    <row r="34" ht="15" customHeight="1" s="21">
      <c r="A34" s="7" t="inlineStr">
        <is>
          <t>INCLUDED</t>
        </is>
      </c>
      <c r="B34" s="7" t="n"/>
      <c r="C34" s="7" t="n"/>
    </row>
    <row r="35" ht="15" customHeight="1" s="21">
      <c r="A35" s="6" t="inlineStr">
        <is>
          <t>STUDIES INCLUDED IN REVIEW</t>
        </is>
      </c>
      <c r="B35" s="6" t="n"/>
      <c r="C35" s="6">
        <f>C28-C29</f>
        <v/>
      </c>
    </row>
    <row r="36" ht="15" customHeight="1" s="21">
      <c r="A36" s="6" t="inlineStr">
        <is>
          <t xml:space="preserve">  - L1 Data Visibility</t>
        </is>
      </c>
      <c r="B36" s="6" t="n"/>
      <c r="C36" s="6" t="n"/>
    </row>
    <row r="37" ht="15" customHeight="1" s="21">
      <c r="A37" s="6" t="inlineStr">
        <is>
          <t xml:space="preserve">  - L2 Operational State</t>
        </is>
      </c>
      <c r="B37" s="6" t="n"/>
      <c r="C37" s="6" t="n"/>
    </row>
    <row r="38" ht="15" customHeight="1" s="21">
      <c r="A38" s="6" t="inlineStr">
        <is>
          <t xml:space="preserve">  - L3 Decision Support</t>
        </is>
      </c>
      <c r="B38" s="6" t="n"/>
      <c r="C38" s="6" t="n"/>
    </row>
    <row r="39" ht="15" customHeight="1" s="21">
      <c r="A39" s="6" t="inlineStr">
        <is>
          <t xml:space="preserve">  - L4 Simulation &amp; V&amp;V</t>
        </is>
      </c>
      <c r="B39" s="6" t="n"/>
      <c r="C39" s="6" t="n"/>
    </row>
    <row r="40" ht="15" customHeight="1" s="21">
      <c r="A40" s="6" t="inlineStr">
        <is>
          <t xml:space="preserve">  - L5 Closed-Loop</t>
        </is>
      </c>
      <c r="B40" s="6" t="n"/>
      <c r="C40" s="6" t="n"/>
    </row>
    <row r="41" ht="15" customHeight="1" s="21">
      <c r="A41" s="6" t="inlineStr">
        <is>
          <t xml:space="preserve">  - Cross-level / Framework</t>
        </is>
      </c>
      <c r="B41" s="6" t="n"/>
      <c r="C41" s="6" t="n"/>
    </row>
    <row r="42" ht="15" customHeight="1" s="21">
      <c r="A42" s="6" t="n"/>
      <c r="B42" s="6" t="n"/>
      <c r="C42" s="6" t="n"/>
    </row>
    <row r="43" ht="15" customHeight="1" s="21">
      <c r="A43" s="7" t="inlineStr">
        <is>
          <t>CONSISTENCY CHECKS</t>
        </is>
      </c>
      <c r="B43" s="7" t="n"/>
      <c r="C43" s="7" t="n"/>
    </row>
    <row r="44" ht="15" customHeight="1" s="21">
      <c r="A44" s="4" t="inlineStr">
        <is>
          <t>CHECK 1: Included + Excluded(FT) = FT assessed?</t>
        </is>
      </c>
      <c r="B44" s="6" t="n"/>
      <c r="C44" s="6">
        <f>IF(C35+C29=C28,"TRUE","FALSE")</f>
        <v/>
      </c>
    </row>
    <row r="45" ht="15" customHeight="1" s="21">
      <c r="A45" s="4" t="inlineStr">
        <is>
          <t>CHECK 2: FT sought + Excluded(T/A) = Screened?</t>
        </is>
      </c>
      <c r="B45" s="6" t="n"/>
      <c r="C45" s="6">
        <f>IF(C26+C15=C14,"TRUE","FALSE")</f>
        <v/>
      </c>
    </row>
    <row r="46" ht="15" customHeight="1" s="21">
      <c r="A46" s="4" t="inlineStr">
        <is>
          <t>CHECK 3: Screened + Duplicates = Total identified?</t>
        </is>
      </c>
      <c r="B46" s="6" t="n"/>
      <c r="C46" s="6">
        <f>IF(C14+C11=C10,"TRUE","FALSE")</f>
        <v/>
      </c>
    </row>
    <row r="47" ht="15" customHeight="1" s="21">
      <c r="A47" s="4" t="inlineStr">
        <is>
          <t>CHECK 4: Sum L1-L5+Cross = Total included?</t>
        </is>
      </c>
      <c r="B47" s="6" t="n"/>
      <c r="C47" s="6">
        <f>IF(SUM(C36:C41)=C35,"TRUE","FALSE")</f>
        <v/>
      </c>
    </row>
  </sheetData>
  <mergeCells count="2">
    <mergeCell ref="A1:C1"/>
    <mergeCell ref="A2:C2"/>
  </mergeCell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4.4"/>
  <cols>
    <col width="30" customWidth="1" style="21" min="1" max="1"/>
    <col width="70" customWidth="1" style="21" min="2" max="2"/>
    <col width="55" customWidth="1" style="21" min="3" max="3"/>
  </cols>
  <sheetData>
    <row r="1" ht="18" customHeight="1" s="21">
      <c r="A1" s="17" t="inlineStr">
        <is>
          <t>SR_Search_Tracking_Workbook v5.6 — Change Log</t>
        </is>
      </c>
    </row>
    <row r="2"/>
    <row r="3">
      <c r="A3" s="18" t="inlineStr">
        <is>
          <t>Mục</t>
        </is>
      </c>
      <c r="B3" s="18" t="inlineStr">
        <is>
          <t>Thay đổi vs v5.5</t>
        </is>
      </c>
      <c r="C3" s="18" t="inlineStr">
        <is>
          <t>Lý do</t>
        </is>
      </c>
    </row>
    <row r="4" ht="28.8" customHeight="1" s="21">
      <c r="A4" s="9" t="inlineStr">
        <is>
          <t>NOT list: Kỹ thuật</t>
        </is>
      </c>
      <c r="B4" s="9" t="inlineStr">
        <is>
          <t>Thêm: kubernetes, port-Hamiltonian, port Hamiltonian, side-channel, SMT execution port</t>
        </is>
      </c>
      <c r="C4" s="9" t="inlineStr">
        <is>
          <t>5 từ nhiễu tìm thấy trong EC-NOSCOPE v5.4 (~10+ bài)</t>
        </is>
      </c>
    </row>
    <row r="5" ht="28.8" customHeight="1" s="21">
      <c r="A5" s="9" t="inlineStr">
        <is>
          <t>NOT list: Địa danh</t>
        </is>
      </c>
      <c r="B5" s="9" t="inlineStr">
        <is>
          <t>Thêm nhóm mới (9 từ): Port Vila, Port Moresby, Port Said, Port Harcourt, Port-au-Prince, Portsmouth, Newport News, Port Elizabeth, Port Louis</t>
        </is>
      </c>
      <c r="C5" s="9" t="inlineStr">
        <is>
          <t>Tên thành phố/thủ đô chứa "port" gây nhiễu trong EC-NOSCOPE</t>
        </is>
      </c>
    </row>
    <row r="6" ht="43.2" customHeight="1" s="21">
      <c r="A6" s="9" t="inlineStr">
        <is>
          <t>NOT list: Non-container terminal</t>
        </is>
      </c>
      <c r="B6" s="9" t="inlineStr">
        <is>
          <t>Thêm nhóm mới (11 từ): bulk/tanker/oil/LNG/coal/grain/ore/cruise/ferry/passenger terminal, roll-on roll-off, Ro-Ro</t>
        </is>
      </c>
      <c r="C6" s="9" t="inlineStr">
        <is>
          <t>Đưa sớm EC2/EC-PAX từ screening vào query để giảm tải dedup</t>
        </is>
      </c>
    </row>
    <row r="7" ht="28.8" customHeight="1" s="21">
      <c r="A7" s="9" t="inlineStr">
        <is>
          <t>NOT list: Customs</t>
        </is>
      </c>
      <c r="B7" s="9" t="inlineStr">
        <is>
          <t>Thêm: port-of-entry, customs clearance</t>
        </is>
      </c>
      <c r="C7" s="9" t="inlineStr">
        <is>
          <t>Giảm bài import clearance / brokerage không thuộc ops cảng biển</t>
        </is>
      </c>
    </row>
    <row r="8" ht="28.8" customHeight="1" s="21">
      <c r="A8" s="9" t="inlineStr">
        <is>
          <t>Q2 EXTENDED</t>
        </is>
      </c>
      <c r="B8" s="9" t="inlineStr">
        <is>
          <t>Bỏ 6 từ khỏi Block C: energy, decarboni*, resilience, sustainability, 5G, ecosystem, charging</t>
        </is>
      </c>
      <c r="C8" s="9" t="inlineStr">
        <is>
          <t>Các từ này sinh 254 EC-ENERGY + 31 EC-ENV + 25 EC-POLICY; chồng T-series chuyên ops</t>
        </is>
      </c>
    </row>
    <row r="9" ht="28.8" customHeight="1" s="21">
      <c r="A9" s="9" t="inlineStr">
        <is>
          <t>Q7 T5 Developing Economy</t>
        </is>
      </c>
      <c r="B9" s="9" t="inlineStr">
        <is>
          <t>Thêm Block 4 yêu cầu method/ops (DT/simulation/optim/scheduling/AGV/crane/berth/yard/IoT)</t>
        </is>
      </c>
      <c r="C9" s="9" t="inlineStr">
        <is>
          <t>155 bài v5.5 chứa nhiều policy thuần; cần có tín hiệu ops</t>
        </is>
      </c>
    </row>
    <row r="10" ht="28.8" customHeight="1" s="21">
      <c r="A10" s="9" t="inlineStr">
        <is>
          <t>Q9 T7 Monitoring</t>
        </is>
      </c>
      <c r="B10" s="9" t="inlineStr">
        <is>
          <t>Thêm AND NOT ("bridge structur*" OR "wharf corrosion" OR "seismic" OR "earthquake" OR "concrete deteriorat*")</t>
        </is>
      </c>
      <c r="C10" s="9" t="inlineStr">
        <is>
          <t>Nhánh 2 (không yêu cầu DT) kéo 40 bài EC-STRUCT về monitoring cầu/bê tông</t>
        </is>
      </c>
    </row>
    <row r="11" ht="28.8" customHeight="1" s="21">
      <c r="A11" s="9" t="inlineStr">
        <is>
          <t>Google Scholar / Springer / T&amp;F</t>
        </is>
      </c>
      <c r="B11" s="9" t="inlineStr">
        <is>
          <t>Thêm toán tử loại trừ ngắn gọn: -"port Hamiltonian" -"Port Vila" -"bulk terminal" -"Ro-Ro" -"customs clearance"</t>
        </is>
      </c>
      <c r="C11" s="9" t="inlineStr">
        <is>
          <t>Đồng bộ NOT clause với Scopus/IEEE ở mức tối thiểu hợp lý</t>
        </is>
      </c>
    </row>
    <row r="12">
      <c r="A12" s="9" t="inlineStr">
        <is>
          <t>Scopus NOT clause</t>
        </is>
      </c>
      <c r="B12" s="9" t="inlineStr">
        <is>
          <t>Tách thành 5 AND NOT block: Tech / Medical / Place / Non-CT / Customs</t>
        </is>
      </c>
      <c r="C12" s="9" t="inlineStr">
        <is>
          <t>Dễ bật/tắt từng nhóm khi debug query</t>
        </is>
      </c>
    </row>
    <row r="13" ht="28.8" customHeight="1" s="21">
      <c r="A13" s="9" t="inlineStr">
        <is>
          <t>IEEE NOT clause</t>
        </is>
      </c>
      <c r="B13" s="9" t="inlineStr">
        <is>
          <t>Tách 4 AND NOT block, mỗi block ≤18 term</t>
        </is>
      </c>
      <c r="C13" s="9" t="inlineStr">
        <is>
          <t>Tránh vượt giới hạn ~25 term/line của IEEE Xplore Command 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2026-04-10T16:01:00Z</dcterms:created>
  <dcterms:modified xsi:type="dcterms:W3CDTF">2026-04-28T18:51:44Z</dcterms:modified>
  <cp:lastModifiedBy>Hoa Tran Xuan</cp:lastModifiedBy>
  <cp:revision>0</cp:revision>
</cp:coreProperties>
</file>